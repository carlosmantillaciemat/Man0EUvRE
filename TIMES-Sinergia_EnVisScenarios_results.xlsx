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 - ciemat.es\Escritorio\"/>
    </mc:Choice>
  </mc:AlternateContent>
  <bookViews>
    <workbookView xWindow="0" yWindow="0" windowWidth="28800" windowHeight="11610" activeTab="1"/>
  </bookViews>
  <sheets>
    <sheet name="GORES" sheetId="1" r:id="rId1"/>
    <sheet name="Hoja2" sheetId="2" r:id="rId2"/>
  </sheets>
  <calcPr calcId="162913"/>
</workbook>
</file>

<file path=xl/calcChain.xml><?xml version="1.0" encoding="utf-8"?>
<calcChain xmlns="http://schemas.openxmlformats.org/spreadsheetml/2006/main">
  <c r="V23" i="1" l="1"/>
  <c r="V24" i="1"/>
  <c r="N23" i="1"/>
  <c r="O23" i="1"/>
  <c r="P23" i="1"/>
  <c r="Q23" i="1"/>
  <c r="R23" i="1"/>
  <c r="S23" i="1"/>
  <c r="T23" i="1"/>
  <c r="U23" i="1"/>
  <c r="N24" i="1"/>
  <c r="O24" i="1"/>
  <c r="P24" i="1"/>
  <c r="Q24" i="1"/>
  <c r="R24" i="1"/>
  <c r="S24" i="1"/>
  <c r="T24" i="1"/>
  <c r="U24" i="1"/>
  <c r="M24" i="1"/>
  <c r="M23" i="1"/>
  <c r="M4" i="1" l="1"/>
  <c r="N4" i="1"/>
  <c r="O4" i="1"/>
  <c r="P4" i="1"/>
  <c r="Q4" i="1"/>
  <c r="R4" i="1"/>
  <c r="S4" i="1"/>
  <c r="T4" i="1"/>
  <c r="M5" i="1"/>
  <c r="N5" i="1"/>
  <c r="O5" i="1"/>
  <c r="P5" i="1"/>
  <c r="Q5" i="1"/>
  <c r="R5" i="1"/>
  <c r="S5" i="1"/>
  <c r="T5" i="1"/>
  <c r="M6" i="1"/>
  <c r="N6" i="1"/>
  <c r="O6" i="1"/>
  <c r="P6" i="1"/>
  <c r="Q6" i="1"/>
  <c r="R6" i="1"/>
  <c r="S6" i="1"/>
  <c r="T6" i="1"/>
  <c r="M7" i="1"/>
  <c r="N7" i="1"/>
  <c r="O7" i="1"/>
  <c r="P7" i="1"/>
  <c r="Q7" i="1"/>
  <c r="R7" i="1"/>
  <c r="S7" i="1"/>
  <c r="T7" i="1"/>
  <c r="M8" i="1"/>
  <c r="N8" i="1"/>
  <c r="O8" i="1"/>
  <c r="P8" i="1"/>
  <c r="Q8" i="1"/>
  <c r="R8" i="1"/>
  <c r="S8" i="1"/>
  <c r="T8" i="1"/>
  <c r="M9" i="1"/>
  <c r="N9" i="1"/>
  <c r="O9" i="1"/>
  <c r="P9" i="1"/>
  <c r="Q9" i="1"/>
  <c r="R9" i="1"/>
  <c r="S9" i="1"/>
  <c r="T9" i="1"/>
  <c r="M10" i="1"/>
  <c r="N10" i="1"/>
  <c r="O10" i="1"/>
  <c r="P10" i="1"/>
  <c r="Q10" i="1"/>
  <c r="R10" i="1"/>
  <c r="S10" i="1"/>
  <c r="T10" i="1"/>
  <c r="M11" i="1"/>
  <c r="N11" i="1"/>
  <c r="O11" i="1"/>
  <c r="P11" i="1"/>
  <c r="Q11" i="1"/>
  <c r="R11" i="1"/>
  <c r="S11" i="1"/>
  <c r="T11" i="1"/>
  <c r="M12" i="1"/>
  <c r="N12" i="1"/>
  <c r="O12" i="1"/>
  <c r="P12" i="1"/>
  <c r="Q12" i="1"/>
  <c r="R12" i="1"/>
  <c r="S12" i="1"/>
  <c r="T12" i="1"/>
  <c r="M13" i="1"/>
  <c r="N13" i="1"/>
  <c r="O13" i="1"/>
  <c r="P13" i="1"/>
  <c r="Q13" i="1"/>
  <c r="R13" i="1"/>
  <c r="S13" i="1"/>
  <c r="T13" i="1"/>
  <c r="M14" i="1"/>
  <c r="N14" i="1"/>
  <c r="O14" i="1"/>
  <c r="P14" i="1"/>
  <c r="Q14" i="1"/>
  <c r="R14" i="1"/>
  <c r="S14" i="1"/>
  <c r="T14" i="1"/>
  <c r="M15" i="1"/>
  <c r="N15" i="1"/>
  <c r="O15" i="1"/>
  <c r="P15" i="1"/>
  <c r="Q15" i="1"/>
  <c r="R15" i="1"/>
  <c r="S15" i="1"/>
  <c r="T15" i="1"/>
  <c r="M16" i="1"/>
  <c r="N16" i="1"/>
  <c r="O16" i="1"/>
  <c r="P16" i="1"/>
  <c r="Q16" i="1"/>
  <c r="R16" i="1"/>
  <c r="S16" i="1"/>
  <c r="T16" i="1"/>
  <c r="L5" i="1"/>
  <c r="L6" i="1"/>
  <c r="L7" i="1"/>
  <c r="L8" i="1"/>
  <c r="L9" i="1"/>
  <c r="L10" i="1"/>
  <c r="L11" i="1"/>
  <c r="L12" i="1"/>
  <c r="L13" i="1"/>
  <c r="L14" i="1"/>
  <c r="L15" i="1"/>
  <c r="L16" i="1"/>
  <c r="L4" i="1"/>
</calcChain>
</file>

<file path=xl/sharedStrings.xml><?xml version="1.0" encoding="utf-8"?>
<sst xmlns="http://schemas.openxmlformats.org/spreadsheetml/2006/main" count="364" uniqueCount="42">
  <si>
    <t>Secondary Energy|Electricity|Biomass|w CCS</t>
  </si>
  <si>
    <t>Secondary Energy|Electricity|Biomass|w/o CCS</t>
  </si>
  <si>
    <t>Secondary Energy|Electricity|Coal|Hard coal|w/o CCS</t>
  </si>
  <si>
    <t>Secondary Energy|Electricity|Gas|CCGT|w/o CCS</t>
  </si>
  <si>
    <t>Secondary Energy|Electricity|Gas|OCGT|w/o CCS</t>
  </si>
  <si>
    <t>Secondary Energy|Electricity|Hydro</t>
  </si>
  <si>
    <t>Secondary Energy|Electricity|Nuclear</t>
  </si>
  <si>
    <t>Secondary Energy|Electricity|Oil|w/o CCS</t>
  </si>
  <si>
    <t>Secondary Energy|Electricity|Solar|CSP</t>
  </si>
  <si>
    <t>Secondary Energy|Electricity|Solar|PV</t>
  </si>
  <si>
    <t>Secondary Energy|Electricity|Wind|Onshore</t>
  </si>
  <si>
    <t>Secondary Energy|Electricity|Wind|Offshore</t>
  </si>
  <si>
    <t>Secondary Energy|Electricity|Other</t>
  </si>
  <si>
    <t>Model</t>
  </si>
  <si>
    <t>Scenario</t>
  </si>
  <si>
    <t>Region</t>
  </si>
  <si>
    <t>Variable</t>
  </si>
  <si>
    <t>Unit</t>
  </si>
  <si>
    <t>2025</t>
  </si>
  <si>
    <t>2030</t>
  </si>
  <si>
    <t>2035</t>
  </si>
  <si>
    <t>2040</t>
  </si>
  <si>
    <t>2045</t>
  </si>
  <si>
    <t>2050</t>
  </si>
  <si>
    <t>2055</t>
  </si>
  <si>
    <t>Go RES v1.2.0</t>
  </si>
  <si>
    <t>Spain</t>
  </si>
  <si>
    <t>EJ/yr</t>
  </si>
  <si>
    <t>TIMES-Sinergia</t>
  </si>
  <si>
    <t>GW</t>
  </si>
  <si>
    <t>NECP Essentials v1.2.0</t>
  </si>
  <si>
    <t>REPowerEU++ v1.2.0</t>
  </si>
  <si>
    <t>Trinity v1.2.0</t>
  </si>
  <si>
    <t>Secondary Energy|Hydrogen|Electricity</t>
  </si>
  <si>
    <t>Secondary Energy|Hydrogen|Gas|w/o CCS</t>
  </si>
  <si>
    <t>ELECTROLYSYS</t>
  </si>
  <si>
    <t>SMR</t>
  </si>
  <si>
    <t>GORES</t>
  </si>
  <si>
    <t>NECP</t>
  </si>
  <si>
    <t>REPOWER</t>
  </si>
  <si>
    <t>TRINITY</t>
  </si>
  <si>
    <t>Capacity|Hydrogen|Electricity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</si>
</sst>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25"/>
      <color rgb="FF000000"/>
      <name val="Microsoft Sans Serif"/>
      <family val="2"/>
    </font>
    <font>
      <sz val="11"/>
      <color rgb="FF9C5700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F1FB"/>
        <bgColor rgb="FFEAF1FB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8" borderId="8" applyNumberFormat="0" applyFont="0" applyAlignment="0" applyProtection="0"/>
    <xf numFmtId="0" fontId="19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15" fillId="0" borderId="11" xfId="0" applyFont="1" applyBorder="1" applyAlignment="1">
      <alignment horizontal="center" vertical="top"/>
    </xf>
    <xf numFmtId="0" fontId="0" fillId="0" borderId="0" xfId="0" applyNumberFormat="1" applyFont="1" applyFill="1" applyBorder="1" applyAlignment="1" applyProtection="1"/>
    <xf numFmtId="0" fontId="17" fillId="33" borderId="10" xfId="0" applyFont="1" applyFill="1" applyBorder="1" applyAlignment="1">
      <alignment horizontal="right" vertical="center"/>
    </xf>
    <xf numFmtId="2" fontId="0" fillId="0" borderId="0" xfId="0" applyNumberFormat="1" applyFont="1" applyFill="1" applyBorder="1" applyAlignment="1" applyProtection="1"/>
    <xf numFmtId="0" fontId="1" fillId="0" borderId="0" xfId="34"/>
    <xf numFmtId="0" fontId="13" fillId="0" borderId="0" xfId="34" applyFont="1"/>
    <xf numFmtId="0" fontId="1" fillId="0" borderId="10" xfId="34" applyBorder="1"/>
    <xf numFmtId="0" fontId="0" fillId="0" borderId="0" xfId="0"/>
    <xf numFmtId="0" fontId="17" fillId="33" borderId="10" xfId="34" applyFont="1" applyFill="1" applyBorder="1" applyAlignment="1">
      <alignment horizontal="right" vertical="center"/>
    </xf>
    <xf numFmtId="0" fontId="1" fillId="0" borderId="0" xfId="34" applyNumberFormat="1" applyFont="1" applyFill="1" applyBorder="1" applyAlignment="1" applyProtection="1"/>
    <xf numFmtId="0" fontId="1" fillId="0" borderId="0" xfId="34"/>
    <xf numFmtId="11" fontId="0" fillId="0" borderId="0" xfId="0" applyNumberFormat="1"/>
    <xf numFmtId="0" fontId="0" fillId="0" borderId="0" xfId="0"/>
    <xf numFmtId="0" fontId="1" fillId="0" borderId="0" xfId="34" applyNumberFormat="1" applyFont="1" applyFill="1" applyBorder="1" applyAlignment="1" applyProtection="1"/>
    <xf numFmtId="0" fontId="20" fillId="0" borderId="0" xfId="34" applyNumberFormat="1" applyFont="1" applyFill="1" applyBorder="1" applyAlignment="1" applyProtection="1"/>
    <xf numFmtId="2" fontId="1" fillId="34" borderId="0" xfId="34" applyNumberFormat="1" applyFont="1" applyFill="1" applyBorder="1" applyAlignment="1" applyProtection="1"/>
    <xf numFmtId="2" fontId="20" fillId="34" borderId="0" xfId="34" applyNumberFormat="1" applyFont="1" applyFill="1" applyBorder="1" applyAlignment="1" applyProtection="1"/>
    <xf numFmtId="0" fontId="0" fillId="0" borderId="0" xfId="0"/>
  </cellXfs>
  <cellStyles count="47">
    <cellStyle name="20% - Énfasis1" xfId="17" builtinId="30" customBuiltin="1"/>
    <cellStyle name="20% - Énfasis2" xfId="20" builtinId="34" customBuiltin="1"/>
    <cellStyle name="20% - Énfasis3" xfId="23" builtinId="38" customBuiltin="1"/>
    <cellStyle name="20% - Énfasis4" xfId="26" builtinId="42" customBuiltin="1"/>
    <cellStyle name="20% - Énfasis5" xfId="29" builtinId="46" customBuiltin="1"/>
    <cellStyle name="20% - Énfasis6" xfId="32" builtinId="50" customBuiltin="1"/>
    <cellStyle name="40% - Énfasis1" xfId="18" builtinId="31" customBuiltin="1"/>
    <cellStyle name="40% - Énfasis2" xfId="21" builtinId="35" customBuiltin="1"/>
    <cellStyle name="40% - Énfasis3" xfId="24" builtinId="39" customBuiltin="1"/>
    <cellStyle name="40% - Énfasis4" xfId="27" builtinId="43" customBuiltin="1"/>
    <cellStyle name="40% - Énfasis5" xfId="30" builtinId="47" customBuiltin="1"/>
    <cellStyle name="40% - Énfasis6" xfId="33" builtinId="51" customBuiltin="1"/>
    <cellStyle name="60% - Énfasis1 2" xfId="36"/>
    <cellStyle name="60% - Énfasis2 2" xfId="37"/>
    <cellStyle name="60% - Énfasis3 2" xfId="38"/>
    <cellStyle name="60% - Énfasis4 2" xfId="39"/>
    <cellStyle name="60% - Énfasis5 2" xfId="40"/>
    <cellStyle name="60% - Énfasis6 2" xfId="41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19" builtinId="33" customBuiltin="1"/>
    <cellStyle name="Énfasis3" xfId="22" builtinId="37" customBuiltin="1"/>
    <cellStyle name="Énfasis4" xfId="25" builtinId="41" customBuiltin="1"/>
    <cellStyle name="Énfasis5" xfId="28" builtinId="45" customBuiltin="1"/>
    <cellStyle name="Énfasis6" xfId="31" builtinId="49" customBuiltin="1"/>
    <cellStyle name="Entrada" xfId="8" builtinId="20" customBuiltin="1"/>
    <cellStyle name="Incorrecto" xfId="7" builtinId="27" customBuiltin="1"/>
    <cellStyle name="Neutral 2" xfId="35"/>
    <cellStyle name="Normal" xfId="0" builtinId="0"/>
    <cellStyle name="Normal 2" xfId="34"/>
    <cellStyle name="Normal 3" xfId="43"/>
    <cellStyle name="Normal 3 2" xfId="45"/>
    <cellStyle name="Notas 2" xfId="42"/>
    <cellStyle name="Porcentaje 2" xfId="46"/>
    <cellStyle name="Porcentaje 3" xfId="44"/>
    <cellStyle name="Salida" xfId="9" builtinId="21" customBuiltin="1"/>
    <cellStyle name="Texto de advertencia" xfId="13" builtinId="11" customBuiltin="1"/>
    <cellStyle name="Texto explicativo" xfId="14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32"/>
  <sheetViews>
    <sheetView topLeftCell="A19" workbookViewId="0">
      <selection activeCell="B29" sqref="B29:I32"/>
    </sheetView>
  </sheetViews>
  <sheetFormatPr baseColWidth="10" defaultRowHeight="15" x14ac:dyDescent="0.25"/>
  <cols>
    <col min="1" max="1" width="49.7109375" customWidth="1"/>
    <col min="13" max="13" width="12.7109375" bestFit="1" customWidth="1"/>
  </cols>
  <sheetData>
    <row r="3" spans="1:20" x14ac:dyDescent="0.25">
      <c r="A3" s="2"/>
      <c r="B3" s="3">
        <v>2020</v>
      </c>
      <c r="C3" s="3">
        <v>2025</v>
      </c>
      <c r="D3" s="3">
        <v>2030</v>
      </c>
      <c r="E3" s="3">
        <v>2035</v>
      </c>
      <c r="F3" s="3">
        <v>2040</v>
      </c>
      <c r="G3" s="3">
        <v>2045</v>
      </c>
      <c r="H3" s="3">
        <v>2050</v>
      </c>
      <c r="I3" s="3">
        <v>2055</v>
      </c>
    </row>
    <row r="4" spans="1:20" x14ac:dyDescent="0.25">
      <c r="A4" s="7" t="s">
        <v>0</v>
      </c>
      <c r="B4" s="4">
        <v>0</v>
      </c>
      <c r="C4" s="4">
        <v>0</v>
      </c>
      <c r="D4" s="4">
        <v>2.1419488063138901</v>
      </c>
      <c r="E4" s="4">
        <v>8.5461304916981895</v>
      </c>
      <c r="F4" s="4">
        <v>2.2848900779240902</v>
      </c>
      <c r="G4" s="4">
        <v>2.0750750354644998</v>
      </c>
      <c r="H4" s="4">
        <v>2.3641908299831101E-2</v>
      </c>
      <c r="I4" s="4">
        <v>0</v>
      </c>
      <c r="L4">
        <f t="shared" ref="L4:L16" si="0">B4/1000</f>
        <v>0</v>
      </c>
      <c r="M4" s="8">
        <f t="shared" ref="M4:M16" si="1">C4/1000</f>
        <v>0</v>
      </c>
      <c r="N4" s="8">
        <f t="shared" ref="N4:N16" si="2">D4/1000</f>
        <v>2.1419488063138901E-3</v>
      </c>
      <c r="O4" s="8">
        <f t="shared" ref="O4:O16" si="3">E4/1000</f>
        <v>8.5461304916981898E-3</v>
      </c>
      <c r="P4" s="8">
        <f t="shared" ref="P4:P16" si="4">F4/1000</f>
        <v>2.2848900779240903E-3</v>
      </c>
      <c r="Q4" s="8">
        <f t="shared" ref="Q4:Q16" si="5">G4/1000</f>
        <v>2.0750750354644998E-3</v>
      </c>
      <c r="R4" s="8">
        <f t="shared" ref="R4:R16" si="6">H4/1000</f>
        <v>2.36419082998311E-5</v>
      </c>
      <c r="S4" s="8">
        <f t="shared" ref="S4:S16" si="7">I4/1000</f>
        <v>0</v>
      </c>
      <c r="T4" s="8">
        <f t="shared" ref="T4:T16" si="8">J4/1000</f>
        <v>0</v>
      </c>
    </row>
    <row r="5" spans="1:20" x14ac:dyDescent="0.25">
      <c r="A5" s="5" t="s">
        <v>1</v>
      </c>
      <c r="B5" s="4">
        <v>11.611078002469721</v>
      </c>
      <c r="C5" s="4">
        <v>21.28755582315479</v>
      </c>
      <c r="D5" s="4">
        <v>40.301574738940204</v>
      </c>
      <c r="E5" s="4">
        <v>49.416147626920008</v>
      </c>
      <c r="F5" s="4">
        <v>59.631682677972563</v>
      </c>
      <c r="G5" s="4">
        <v>58.436743948285184</v>
      </c>
      <c r="H5" s="4">
        <v>33.565719365058136</v>
      </c>
      <c r="I5" s="4">
        <v>30.622200537079742</v>
      </c>
      <c r="L5" s="8">
        <f t="shared" si="0"/>
        <v>1.1611078002469721E-2</v>
      </c>
      <c r="M5" s="8">
        <f t="shared" si="1"/>
        <v>2.1287555823154791E-2</v>
      </c>
      <c r="N5" s="8">
        <f t="shared" si="2"/>
        <v>4.03015747389402E-2</v>
      </c>
      <c r="O5" s="8">
        <f t="shared" si="3"/>
        <v>4.941614762692001E-2</v>
      </c>
      <c r="P5" s="8">
        <f t="shared" si="4"/>
        <v>5.9631682677972565E-2</v>
      </c>
      <c r="Q5" s="8">
        <f t="shared" si="5"/>
        <v>5.8436743948285186E-2</v>
      </c>
      <c r="R5" s="8">
        <f t="shared" si="6"/>
        <v>3.3565719365058137E-2</v>
      </c>
      <c r="S5" s="8">
        <f t="shared" si="7"/>
        <v>3.0622200537079741E-2</v>
      </c>
      <c r="T5" s="8">
        <f t="shared" si="8"/>
        <v>0</v>
      </c>
    </row>
    <row r="6" spans="1:20" x14ac:dyDescent="0.25">
      <c r="A6" s="5" t="s">
        <v>2</v>
      </c>
      <c r="B6" s="4">
        <v>94.751739381529774</v>
      </c>
      <c r="C6" s="4">
        <v>27.995963177710792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L6" s="8">
        <f t="shared" si="0"/>
        <v>9.4751739381529768E-2</v>
      </c>
      <c r="M6" s="8">
        <f t="shared" si="1"/>
        <v>2.7995963177710793E-2</v>
      </c>
      <c r="N6" s="8">
        <f t="shared" si="2"/>
        <v>0</v>
      </c>
      <c r="O6" s="8">
        <f t="shared" si="3"/>
        <v>0</v>
      </c>
      <c r="P6" s="8">
        <f t="shared" si="4"/>
        <v>0</v>
      </c>
      <c r="Q6" s="8">
        <f t="shared" si="5"/>
        <v>0</v>
      </c>
      <c r="R6" s="8">
        <f t="shared" si="6"/>
        <v>0</v>
      </c>
      <c r="S6" s="8">
        <f t="shared" si="7"/>
        <v>0</v>
      </c>
      <c r="T6" s="8">
        <f t="shared" si="8"/>
        <v>0</v>
      </c>
    </row>
    <row r="7" spans="1:20" x14ac:dyDescent="0.25">
      <c r="A7" s="5" t="s">
        <v>3</v>
      </c>
      <c r="B7" s="4">
        <v>198.46704726837504</v>
      </c>
      <c r="C7" s="4">
        <v>70.890712238750936</v>
      </c>
      <c r="D7" s="4">
        <v>111.36668267413899</v>
      </c>
      <c r="E7" s="4">
        <v>115.60990282247329</v>
      </c>
      <c r="F7" s="4">
        <v>68.147299160012651</v>
      </c>
      <c r="G7" s="4">
        <v>54.991797634120999</v>
      </c>
      <c r="H7" s="4">
        <v>5.9236821884299697</v>
      </c>
      <c r="I7" s="4">
        <v>5.1011859398992776</v>
      </c>
      <c r="L7" s="8">
        <f t="shared" si="0"/>
        <v>0.19846704726837505</v>
      </c>
      <c r="M7" s="8">
        <f t="shared" si="1"/>
        <v>7.089071223875093E-2</v>
      </c>
      <c r="N7" s="8">
        <f t="shared" si="2"/>
        <v>0.11136668267413899</v>
      </c>
      <c r="O7" s="8">
        <f t="shared" si="3"/>
        <v>0.11560990282247328</v>
      </c>
      <c r="P7" s="8">
        <f t="shared" si="4"/>
        <v>6.814729916001265E-2</v>
      </c>
      <c r="Q7" s="8">
        <f t="shared" si="5"/>
        <v>5.4991797634121001E-2</v>
      </c>
      <c r="R7" s="8">
        <f t="shared" si="6"/>
        <v>5.92368218842997E-3</v>
      </c>
      <c r="S7" s="8">
        <f t="shared" si="7"/>
        <v>5.1011859398992776E-3</v>
      </c>
      <c r="T7" s="8">
        <f t="shared" si="8"/>
        <v>0</v>
      </c>
    </row>
    <row r="8" spans="1:20" x14ac:dyDescent="0.25">
      <c r="A8" s="5" t="s">
        <v>4</v>
      </c>
      <c r="B8" s="4">
        <v>27.173678097837609</v>
      </c>
      <c r="C8" s="4">
        <v>21.856717973583887</v>
      </c>
      <c r="D8" s="4">
        <v>22.96303356438407</v>
      </c>
      <c r="E8" s="4">
        <v>14.065750473409869</v>
      </c>
      <c r="F8" s="4">
        <v>0.329446409759999</v>
      </c>
      <c r="G8" s="4">
        <v>0</v>
      </c>
      <c r="H8" s="4">
        <v>0</v>
      </c>
      <c r="I8" s="4">
        <v>0</v>
      </c>
      <c r="L8" s="8">
        <f t="shared" si="0"/>
        <v>2.7173678097837609E-2</v>
      </c>
      <c r="M8" s="8">
        <f t="shared" si="1"/>
        <v>2.1856717973583888E-2</v>
      </c>
      <c r="N8" s="8">
        <f t="shared" si="2"/>
        <v>2.2963033564384068E-2</v>
      </c>
      <c r="O8" s="8">
        <f t="shared" si="3"/>
        <v>1.4065750473409869E-2</v>
      </c>
      <c r="P8" s="8">
        <f t="shared" si="4"/>
        <v>3.2944640975999899E-4</v>
      </c>
      <c r="Q8" s="8">
        <f t="shared" si="5"/>
        <v>0</v>
      </c>
      <c r="R8" s="8">
        <f t="shared" si="6"/>
        <v>0</v>
      </c>
      <c r="S8" s="8">
        <f t="shared" si="7"/>
        <v>0</v>
      </c>
      <c r="T8" s="8">
        <f t="shared" si="8"/>
        <v>0</v>
      </c>
    </row>
    <row r="9" spans="1:20" x14ac:dyDescent="0.25">
      <c r="A9" s="5" t="s">
        <v>5</v>
      </c>
      <c r="B9" s="4">
        <v>109.23359754290135</v>
      </c>
      <c r="C9" s="4">
        <v>100.35666260311214</v>
      </c>
      <c r="D9" s="4">
        <v>101.05111147252133</v>
      </c>
      <c r="E9" s="4">
        <v>102.42764137003905</v>
      </c>
      <c r="F9" s="4">
        <v>104.36552970375806</v>
      </c>
      <c r="G9" s="4">
        <v>103.30534917922873</v>
      </c>
      <c r="H9" s="4">
        <v>101.26165761556578</v>
      </c>
      <c r="I9" s="4">
        <v>160.87342377264918</v>
      </c>
      <c r="L9" s="8">
        <f t="shared" si="0"/>
        <v>0.10923359754290135</v>
      </c>
      <c r="M9" s="8">
        <f t="shared" si="1"/>
        <v>0.10035666260311214</v>
      </c>
      <c r="N9" s="8">
        <f t="shared" si="2"/>
        <v>0.10105111147252133</v>
      </c>
      <c r="O9" s="8">
        <f t="shared" si="3"/>
        <v>0.10242764137003905</v>
      </c>
      <c r="P9" s="8">
        <f t="shared" si="4"/>
        <v>0.10436552970375805</v>
      </c>
      <c r="Q9" s="8">
        <f t="shared" si="5"/>
        <v>0.10330534917922873</v>
      </c>
      <c r="R9" s="8">
        <f t="shared" si="6"/>
        <v>0.10126165761556578</v>
      </c>
      <c r="S9" s="8">
        <f t="shared" si="7"/>
        <v>0.16087342377264918</v>
      </c>
      <c r="T9" s="8">
        <f t="shared" si="8"/>
        <v>0</v>
      </c>
    </row>
    <row r="10" spans="1:20" x14ac:dyDescent="0.25">
      <c r="A10" s="5" t="s">
        <v>6</v>
      </c>
      <c r="B10" s="4">
        <v>205.33468031999999</v>
      </c>
      <c r="C10" s="4">
        <v>208.94040016715201</v>
      </c>
      <c r="D10" s="4">
        <v>89.828275838858303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L10" s="8">
        <f t="shared" si="0"/>
        <v>0.20533468031999999</v>
      </c>
      <c r="M10" s="8">
        <f t="shared" si="1"/>
        <v>0.20894040016715201</v>
      </c>
      <c r="N10" s="8">
        <f t="shared" si="2"/>
        <v>8.9828275838858301E-2</v>
      </c>
      <c r="O10" s="8">
        <f t="shared" si="3"/>
        <v>0</v>
      </c>
      <c r="P10" s="8">
        <f t="shared" si="4"/>
        <v>0</v>
      </c>
      <c r="Q10" s="8">
        <f t="shared" si="5"/>
        <v>0</v>
      </c>
      <c r="R10" s="8">
        <f t="shared" si="6"/>
        <v>0</v>
      </c>
      <c r="S10" s="8">
        <f t="shared" si="7"/>
        <v>0</v>
      </c>
      <c r="T10" s="8">
        <f t="shared" si="8"/>
        <v>0</v>
      </c>
    </row>
    <row r="11" spans="1:20" x14ac:dyDescent="0.25">
      <c r="A11" s="5" t="s">
        <v>7</v>
      </c>
      <c r="B11" s="4">
        <v>43.318221812498081</v>
      </c>
      <c r="C11" s="4">
        <v>32.01297232041005</v>
      </c>
      <c r="D11" s="4">
        <v>23.23717626113001</v>
      </c>
      <c r="E11" s="4">
        <v>14.619059443441611</v>
      </c>
      <c r="F11" s="4">
        <v>9.1910074877143408</v>
      </c>
      <c r="G11" s="4">
        <v>4.8287675932516496</v>
      </c>
      <c r="H11" s="4">
        <v>0</v>
      </c>
      <c r="I11" s="4">
        <v>0</v>
      </c>
      <c r="L11" s="8">
        <f t="shared" si="0"/>
        <v>4.331822181249808E-2</v>
      </c>
      <c r="M11" s="8">
        <f t="shared" si="1"/>
        <v>3.2012972320410053E-2</v>
      </c>
      <c r="N11" s="8">
        <f t="shared" si="2"/>
        <v>2.3237176261130008E-2</v>
      </c>
      <c r="O11" s="8">
        <f t="shared" si="3"/>
        <v>1.461905944344161E-2</v>
      </c>
      <c r="P11" s="8">
        <f t="shared" si="4"/>
        <v>9.1910074877143404E-3</v>
      </c>
      <c r="Q11" s="8">
        <f t="shared" si="5"/>
        <v>4.8287675932516495E-3</v>
      </c>
      <c r="R11" s="8">
        <f t="shared" si="6"/>
        <v>0</v>
      </c>
      <c r="S11" s="8">
        <f t="shared" si="7"/>
        <v>0</v>
      </c>
      <c r="T11" s="8">
        <f t="shared" si="8"/>
        <v>0</v>
      </c>
    </row>
    <row r="12" spans="1:20" x14ac:dyDescent="0.25">
      <c r="A12" s="5" t="s">
        <v>8</v>
      </c>
      <c r="B12" s="4">
        <v>3.1094494731937199E-2</v>
      </c>
      <c r="C12" s="4">
        <v>33.277664179279512</v>
      </c>
      <c r="D12" s="4">
        <v>66.591747594089526</v>
      </c>
      <c r="E12" s="4">
        <v>63.024425641633833</v>
      </c>
      <c r="F12" s="4">
        <v>167.62321212856796</v>
      </c>
      <c r="G12" s="4">
        <v>278.71913593975341</v>
      </c>
      <c r="H12" s="4">
        <v>285.55656237663999</v>
      </c>
      <c r="I12" s="4">
        <v>302.7367348760099</v>
      </c>
      <c r="L12" s="8">
        <f t="shared" si="0"/>
        <v>3.1094494731937198E-5</v>
      </c>
      <c r="M12" s="8">
        <f t="shared" si="1"/>
        <v>3.3277664179279513E-2</v>
      </c>
      <c r="N12" s="8">
        <f t="shared" si="2"/>
        <v>6.659174759408952E-2</v>
      </c>
      <c r="O12" s="8">
        <f t="shared" si="3"/>
        <v>6.3024425641633838E-2</v>
      </c>
      <c r="P12" s="8">
        <f t="shared" si="4"/>
        <v>0.16762321212856796</v>
      </c>
      <c r="Q12" s="8">
        <f t="shared" si="5"/>
        <v>0.27871913593975339</v>
      </c>
      <c r="R12" s="8">
        <f t="shared" si="6"/>
        <v>0.28555656237664001</v>
      </c>
      <c r="S12" s="8">
        <f t="shared" si="7"/>
        <v>0.30273673487600988</v>
      </c>
      <c r="T12" s="8">
        <f t="shared" si="8"/>
        <v>0</v>
      </c>
    </row>
    <row r="13" spans="1:20" x14ac:dyDescent="0.25">
      <c r="A13" s="5" t="s">
        <v>9</v>
      </c>
      <c r="B13" s="4">
        <v>58.694876226100334</v>
      </c>
      <c r="C13" s="4">
        <v>279.66490949516583</v>
      </c>
      <c r="D13" s="4">
        <v>447.20016988344031</v>
      </c>
      <c r="E13" s="4">
        <v>531.81788799300932</v>
      </c>
      <c r="F13" s="4">
        <v>557.53946567882065</v>
      </c>
      <c r="G13" s="4">
        <v>944.55884435090866</v>
      </c>
      <c r="H13" s="4">
        <v>1172.6244403441708</v>
      </c>
      <c r="I13" s="4">
        <v>4255.9032587701467</v>
      </c>
      <c r="L13" s="8">
        <f t="shared" si="0"/>
        <v>5.8694876226100333E-2</v>
      </c>
      <c r="M13" s="8">
        <f t="shared" si="1"/>
        <v>0.27966490949516581</v>
      </c>
      <c r="N13" s="8">
        <f t="shared" si="2"/>
        <v>0.4472001698834403</v>
      </c>
      <c r="O13" s="8">
        <f t="shared" si="3"/>
        <v>0.53181788799300933</v>
      </c>
      <c r="P13" s="8">
        <f t="shared" si="4"/>
        <v>0.55753946567882062</v>
      </c>
      <c r="Q13" s="8">
        <f t="shared" si="5"/>
        <v>0.94455884435090864</v>
      </c>
      <c r="R13" s="8">
        <f t="shared" si="6"/>
        <v>1.1726244403441708</v>
      </c>
      <c r="S13" s="8">
        <f t="shared" si="7"/>
        <v>4.2559032587701466</v>
      </c>
      <c r="T13" s="8">
        <f t="shared" si="8"/>
        <v>0</v>
      </c>
    </row>
    <row r="14" spans="1:20" x14ac:dyDescent="0.25">
      <c r="A14" s="5" t="s">
        <v>10</v>
      </c>
      <c r="B14" s="4">
        <v>143.10543854431</v>
      </c>
      <c r="C14" s="4">
        <v>207.40161803307458</v>
      </c>
      <c r="D14" s="4">
        <v>311.20415335316397</v>
      </c>
      <c r="E14" s="4">
        <v>340.664731733802</v>
      </c>
      <c r="F14" s="4">
        <v>333.58974751993298</v>
      </c>
      <c r="G14" s="4">
        <v>281.0449495404655</v>
      </c>
      <c r="H14" s="4">
        <v>269.44649606849202</v>
      </c>
      <c r="I14" s="4">
        <v>235.71630291728053</v>
      </c>
      <c r="L14" s="8">
        <f t="shared" si="0"/>
        <v>0.14310543854431002</v>
      </c>
      <c r="M14" s="8">
        <f t="shared" si="1"/>
        <v>0.20740161803307458</v>
      </c>
      <c r="N14" s="8">
        <f t="shared" si="2"/>
        <v>0.31120415335316398</v>
      </c>
      <c r="O14" s="8">
        <f t="shared" si="3"/>
        <v>0.34066473173380202</v>
      </c>
      <c r="P14" s="8">
        <f t="shared" si="4"/>
        <v>0.33358974751993298</v>
      </c>
      <c r="Q14" s="8">
        <f t="shared" si="5"/>
        <v>0.28104494954046549</v>
      </c>
      <c r="R14" s="8">
        <f t="shared" si="6"/>
        <v>0.26944649606849203</v>
      </c>
      <c r="S14" s="8">
        <f t="shared" si="7"/>
        <v>0.23571630291728052</v>
      </c>
      <c r="T14" s="8">
        <f t="shared" si="8"/>
        <v>0</v>
      </c>
    </row>
    <row r="15" spans="1:20" x14ac:dyDescent="0.25">
      <c r="A15" s="5" t="s">
        <v>11</v>
      </c>
      <c r="B15" s="4">
        <v>0</v>
      </c>
      <c r="C15" s="4">
        <v>4.80920798447855</v>
      </c>
      <c r="D15" s="4">
        <v>15.555200549905599</v>
      </c>
      <c r="E15" s="4">
        <v>29.338241689409799</v>
      </c>
      <c r="F15" s="4">
        <v>18.466142545042299</v>
      </c>
      <c r="G15" s="4">
        <v>18.757169842727301</v>
      </c>
      <c r="H15" s="4">
        <v>30.16920992832458</v>
      </c>
      <c r="I15" s="4">
        <v>63.484879769273704</v>
      </c>
      <c r="L15" s="8">
        <f t="shared" si="0"/>
        <v>0</v>
      </c>
      <c r="M15" s="8">
        <f t="shared" si="1"/>
        <v>4.8092079844785501E-3</v>
      </c>
      <c r="N15" s="8">
        <f t="shared" si="2"/>
        <v>1.55552005499056E-2</v>
      </c>
      <c r="O15" s="8">
        <f t="shared" si="3"/>
        <v>2.9338241689409798E-2</v>
      </c>
      <c r="P15" s="8">
        <f t="shared" si="4"/>
        <v>1.8466142545042297E-2</v>
      </c>
      <c r="Q15" s="8">
        <f t="shared" si="5"/>
        <v>1.8757169842727302E-2</v>
      </c>
      <c r="R15" s="8">
        <f t="shared" si="6"/>
        <v>3.0169209928324579E-2</v>
      </c>
      <c r="S15" s="8">
        <f t="shared" si="7"/>
        <v>6.3484879769273708E-2</v>
      </c>
      <c r="T15" s="8">
        <f t="shared" si="8"/>
        <v>0</v>
      </c>
    </row>
    <row r="16" spans="1:20" x14ac:dyDescent="0.25">
      <c r="A16" s="6" t="s">
        <v>12</v>
      </c>
      <c r="B16" s="4">
        <v>3.875973027432364</v>
      </c>
      <c r="C16" s="4">
        <v>3.8046701443203093</v>
      </c>
      <c r="D16" s="4">
        <v>2.6486877684335868</v>
      </c>
      <c r="E16" s="4">
        <v>2.2862698979570415</v>
      </c>
      <c r="F16" s="4">
        <v>2.2926189476906784</v>
      </c>
      <c r="G16" s="4">
        <v>1.7687421833847941</v>
      </c>
      <c r="H16" s="4">
        <v>12.798961028104298</v>
      </c>
      <c r="I16" s="4">
        <v>1.3499999999999941</v>
      </c>
      <c r="L16" s="8">
        <f t="shared" si="0"/>
        <v>3.8759730274323641E-3</v>
      </c>
      <c r="M16" s="8">
        <f t="shared" si="1"/>
        <v>3.8046701443203092E-3</v>
      </c>
      <c r="N16" s="8">
        <f t="shared" si="2"/>
        <v>2.648687768433587E-3</v>
      </c>
      <c r="O16" s="8">
        <f t="shared" si="3"/>
        <v>2.2862698979570417E-3</v>
      </c>
      <c r="P16" s="8">
        <f t="shared" si="4"/>
        <v>2.2926189476906783E-3</v>
      </c>
      <c r="Q16" s="8">
        <f t="shared" si="5"/>
        <v>1.7687421833847941E-3</v>
      </c>
      <c r="R16" s="8">
        <f t="shared" si="6"/>
        <v>1.2798961028104298E-2</v>
      </c>
      <c r="S16" s="8">
        <f t="shared" si="7"/>
        <v>1.349999999999994E-3</v>
      </c>
      <c r="T16" s="8">
        <f t="shared" si="8"/>
        <v>0</v>
      </c>
    </row>
    <row r="22" spans="1:22" x14ac:dyDescent="0.25">
      <c r="A22" s="10"/>
      <c r="B22" s="9">
        <v>2016</v>
      </c>
      <c r="C22" s="9">
        <v>2017</v>
      </c>
      <c r="D22" s="9">
        <v>2020</v>
      </c>
      <c r="E22" s="9">
        <v>2025</v>
      </c>
      <c r="F22" s="9">
        <v>2030</v>
      </c>
      <c r="G22" s="9">
        <v>2035</v>
      </c>
      <c r="H22" s="9">
        <v>2040</v>
      </c>
      <c r="I22" s="9">
        <v>2045</v>
      </c>
      <c r="J22" s="9">
        <v>2050</v>
      </c>
      <c r="K22" s="9">
        <v>2055</v>
      </c>
    </row>
    <row r="23" spans="1:22" x14ac:dyDescent="0.25">
      <c r="A23" s="15" t="s">
        <v>35</v>
      </c>
      <c r="B23" s="17">
        <v>-3.0005849760345001E-5</v>
      </c>
      <c r="C23" s="17">
        <v>-3.0021793643766201E-5</v>
      </c>
      <c r="D23" s="17">
        <v>-4.8329151738336998E-4</v>
      </c>
      <c r="E23" s="17">
        <v>-59.328797282768122</v>
      </c>
      <c r="F23" s="17">
        <v>-117.01602686441535</v>
      </c>
      <c r="G23" s="17">
        <v>-202.65665335594358</v>
      </c>
      <c r="H23" s="17">
        <v>-224.02186385717363</v>
      </c>
      <c r="I23" s="17">
        <v>-208.70964527318372</v>
      </c>
      <c r="J23" s="17">
        <v>-396.16498172026263</v>
      </c>
      <c r="K23" s="17">
        <v>-253.36207265517976</v>
      </c>
      <c r="M23">
        <f>B23/1000</f>
        <v>-3.0005849760345E-8</v>
      </c>
      <c r="N23" s="13">
        <f t="shared" ref="N23:U24" si="9">C23/1000</f>
        <v>-3.0021793643766202E-8</v>
      </c>
      <c r="O23" s="13">
        <f t="shared" si="9"/>
        <v>-4.8329151738337E-7</v>
      </c>
      <c r="P23" s="13">
        <f t="shared" si="9"/>
        <v>-5.9328797282768124E-2</v>
      </c>
      <c r="Q23" s="13">
        <f t="shared" si="9"/>
        <v>-0.11701602686441535</v>
      </c>
      <c r="R23" s="13">
        <f t="shared" si="9"/>
        <v>-0.20265665335594357</v>
      </c>
      <c r="S23" s="13">
        <f t="shared" si="9"/>
        <v>-0.22402186385717363</v>
      </c>
      <c r="T23" s="13">
        <f t="shared" si="9"/>
        <v>-0.20870964527318372</v>
      </c>
      <c r="U23" s="13">
        <f t="shared" si="9"/>
        <v>-0.39616498172026265</v>
      </c>
      <c r="V23" s="13">
        <f>K23/1000</f>
        <v>-0.25336207265517974</v>
      </c>
    </row>
    <row r="24" spans="1:22" x14ac:dyDescent="0.25">
      <c r="A24" s="14" t="s">
        <v>36</v>
      </c>
      <c r="B24" s="16">
        <v>-0.50743261220640301</v>
      </c>
      <c r="C24" s="16">
        <v>-0.19624691855586299</v>
      </c>
      <c r="D24" s="16">
        <v>-0.50743261220640301</v>
      </c>
      <c r="E24" s="16">
        <v>-0.34418369800795501</v>
      </c>
      <c r="F24" s="16">
        <v>-0.31790352014576601</v>
      </c>
      <c r="G24" s="16">
        <v>-9.594580208232804</v>
      </c>
      <c r="H24" s="16">
        <v>-0.50809242683205402</v>
      </c>
      <c r="I24" s="16">
        <v>-9.594580208232804</v>
      </c>
      <c r="J24" s="16">
        <v>-24.411902609964354</v>
      </c>
      <c r="K24" s="16">
        <v>0</v>
      </c>
      <c r="M24" s="13">
        <f>B24/1000</f>
        <v>-5.0743261220640302E-4</v>
      </c>
      <c r="N24" s="13">
        <f t="shared" si="9"/>
        <v>-1.9624691855586298E-4</v>
      </c>
      <c r="O24" s="13">
        <f t="shared" si="9"/>
        <v>-5.0743261220640302E-4</v>
      </c>
      <c r="P24" s="13">
        <f t="shared" si="9"/>
        <v>-3.4418369800795501E-4</v>
      </c>
      <c r="Q24" s="13">
        <f t="shared" si="9"/>
        <v>-3.17903520145766E-4</v>
      </c>
      <c r="R24" s="13">
        <f t="shared" si="9"/>
        <v>-9.5945802082328044E-3</v>
      </c>
      <c r="S24" s="13">
        <f t="shared" si="9"/>
        <v>-5.0809242683205399E-4</v>
      </c>
      <c r="T24" s="13">
        <f t="shared" si="9"/>
        <v>-9.5945802082328044E-3</v>
      </c>
      <c r="U24" s="13">
        <f t="shared" si="9"/>
        <v>-2.4411902609964353E-2</v>
      </c>
      <c r="V24" s="13">
        <f>K24/1000</f>
        <v>0</v>
      </c>
    </row>
    <row r="28" spans="1:22" x14ac:dyDescent="0.25">
      <c r="B28">
        <v>2020</v>
      </c>
      <c r="C28">
        <v>2025</v>
      </c>
      <c r="D28">
        <v>2030</v>
      </c>
      <c r="E28">
        <v>2035</v>
      </c>
      <c r="F28">
        <v>2040</v>
      </c>
      <c r="G28">
        <v>2045</v>
      </c>
      <c r="H28">
        <v>2050</v>
      </c>
      <c r="I28">
        <v>2055</v>
      </c>
    </row>
    <row r="29" spans="1:22" x14ac:dyDescent="0.25">
      <c r="A29" t="s">
        <v>37</v>
      </c>
      <c r="B29">
        <v>3.9387716534275301E-5</v>
      </c>
      <c r="C29">
        <v>4.1922099214668016</v>
      </c>
      <c r="D29">
        <v>8.6616689607522765</v>
      </c>
      <c r="E29">
        <v>18.801396010660191</v>
      </c>
      <c r="F29">
        <v>24.875414200316083</v>
      </c>
      <c r="G29">
        <v>53.943629977495988</v>
      </c>
      <c r="H29">
        <v>72.902504108701379</v>
      </c>
      <c r="I29">
        <v>70.116502345229463</v>
      </c>
    </row>
    <row r="30" spans="1:22" x14ac:dyDescent="0.25">
      <c r="A30" t="s">
        <v>38</v>
      </c>
      <c r="B30">
        <v>3.9387716534275301E-5</v>
      </c>
      <c r="C30">
        <v>4.2149587120823986</v>
      </c>
      <c r="D30">
        <v>8.8130182227797338</v>
      </c>
      <c r="E30">
        <v>21.241223712573809</v>
      </c>
      <c r="F30">
        <v>25.418966322689634</v>
      </c>
      <c r="G30">
        <v>51.213591270425368</v>
      </c>
      <c r="H30">
        <v>64.453876673099387</v>
      </c>
      <c r="I30">
        <v>58.214060609176791</v>
      </c>
    </row>
    <row r="31" spans="1:22" x14ac:dyDescent="0.25">
      <c r="A31" t="s">
        <v>39</v>
      </c>
      <c r="B31">
        <v>3.9387716534275301E-5</v>
      </c>
      <c r="C31">
        <v>4.2149966870415678</v>
      </c>
      <c r="D31">
        <v>10.016598555487077</v>
      </c>
      <c r="E31">
        <v>20.734318296719664</v>
      </c>
      <c r="F31">
        <v>23.598214898381084</v>
      </c>
      <c r="G31">
        <v>52.999018481549243</v>
      </c>
      <c r="H31">
        <v>68.967849443742267</v>
      </c>
      <c r="I31">
        <v>64.304070527406608</v>
      </c>
    </row>
    <row r="32" spans="1:22" x14ac:dyDescent="0.25">
      <c r="A32" t="s">
        <v>40</v>
      </c>
      <c r="B32">
        <v>3.9387716534275301E-5</v>
      </c>
      <c r="C32">
        <v>4.2118767215881467</v>
      </c>
      <c r="D32">
        <v>9.412267414616684</v>
      </c>
      <c r="E32">
        <v>18.768669463765367</v>
      </c>
      <c r="F32">
        <v>22.698043769812934</v>
      </c>
      <c r="G32">
        <v>27.378803385125931</v>
      </c>
      <c r="H32">
        <v>43.838459928531528</v>
      </c>
      <c r="I32">
        <v>36.563528601587812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abSelected="1" topLeftCell="A34" workbookViewId="0">
      <selection activeCell="C53" sqref="C53:C65"/>
    </sheetView>
  </sheetViews>
  <sheetFormatPr baseColWidth="10" defaultRowHeight="15" x14ac:dyDescent="0.25"/>
  <cols>
    <col min="1" max="1" width="19.5703125" customWidth="1"/>
    <col min="2" max="2" width="21.28515625" customWidth="1"/>
    <col min="4" max="4" width="55.7109375" customWidth="1"/>
  </cols>
  <sheetData>
    <row r="1" spans="1:13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>
        <v>2020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 x14ac:dyDescent="0.25">
      <c r="A2" t="s">
        <v>28</v>
      </c>
      <c r="B2" t="s">
        <v>25</v>
      </c>
      <c r="C2" t="s">
        <v>26</v>
      </c>
      <c r="D2" t="s">
        <v>0</v>
      </c>
      <c r="E2" t="s">
        <v>27</v>
      </c>
      <c r="F2">
        <v>0</v>
      </c>
      <c r="G2">
        <v>0</v>
      </c>
      <c r="H2">
        <v>6.34635311535371E-3</v>
      </c>
      <c r="I2">
        <v>6.2023288195390006E-2</v>
      </c>
      <c r="J2">
        <v>1.766363716700961E-2</v>
      </c>
      <c r="K2">
        <v>2.92740847775908E-3</v>
      </c>
      <c r="L2">
        <v>2.3644200734597902E-5</v>
      </c>
      <c r="M2">
        <v>0</v>
      </c>
    </row>
    <row r="3" spans="1:13" x14ac:dyDescent="0.25">
      <c r="A3" t="s">
        <v>28</v>
      </c>
      <c r="B3" t="s">
        <v>25</v>
      </c>
      <c r="C3" t="s">
        <v>26</v>
      </c>
      <c r="D3" t="s">
        <v>1</v>
      </c>
      <c r="E3" t="s">
        <v>27</v>
      </c>
      <c r="F3">
        <v>1.1611078002469728E-2</v>
      </c>
      <c r="G3">
        <v>2.1287555823154791E-2</v>
      </c>
      <c r="H3">
        <v>4.0347203032549711E-2</v>
      </c>
      <c r="I3">
        <v>4.9059918747916272E-2</v>
      </c>
      <c r="J3">
        <v>5.9616911134393574E-2</v>
      </c>
      <c r="K3">
        <v>5.8436743948285186E-2</v>
      </c>
      <c r="L3">
        <v>3.3565719365058144E-2</v>
      </c>
      <c r="M3">
        <v>3.0622200537079741E-2</v>
      </c>
    </row>
    <row r="4" spans="1:13" x14ac:dyDescent="0.25">
      <c r="A4" t="s">
        <v>28</v>
      </c>
      <c r="B4" t="s">
        <v>25</v>
      </c>
      <c r="C4" t="s">
        <v>26</v>
      </c>
      <c r="D4" t="s">
        <v>2</v>
      </c>
      <c r="E4" t="s">
        <v>27</v>
      </c>
      <c r="F4">
        <v>9.4751739381529768E-2</v>
      </c>
      <c r="G4">
        <v>2.7995963177710793E-2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28</v>
      </c>
      <c r="B5" t="s">
        <v>25</v>
      </c>
      <c r="C5" t="s">
        <v>26</v>
      </c>
      <c r="D5" t="s">
        <v>3</v>
      </c>
      <c r="E5" t="s">
        <v>27</v>
      </c>
      <c r="F5">
        <v>0.19846704726837505</v>
      </c>
      <c r="G5">
        <v>7.1222883941628276E-2</v>
      </c>
      <c r="H5">
        <v>0.11839940213803388</v>
      </c>
      <c r="I5">
        <v>0.1144781675233317</v>
      </c>
      <c r="J5">
        <v>7.4206638024192584E-2</v>
      </c>
      <c r="K5">
        <v>5.4722220677892557E-2</v>
      </c>
      <c r="L5">
        <v>5.0196351744412702E-3</v>
      </c>
      <c r="M5">
        <v>5.1011857853956229E-3</v>
      </c>
    </row>
    <row r="6" spans="1:13" x14ac:dyDescent="0.25">
      <c r="A6" t="s">
        <v>28</v>
      </c>
      <c r="B6" t="s">
        <v>25</v>
      </c>
      <c r="C6" t="s">
        <v>26</v>
      </c>
      <c r="D6" t="s">
        <v>4</v>
      </c>
      <c r="E6" t="s">
        <v>27</v>
      </c>
      <c r="F6">
        <v>2.7173678097837609E-2</v>
      </c>
      <c r="G6">
        <v>2.1856717973583888E-2</v>
      </c>
      <c r="H6">
        <v>2.2980289831763506E-2</v>
      </c>
      <c r="I6">
        <v>1.3701103059469345E-2</v>
      </c>
      <c r="J6">
        <v>3.2944640975999899E-4</v>
      </c>
      <c r="K6">
        <v>0</v>
      </c>
      <c r="L6">
        <v>0</v>
      </c>
      <c r="M6">
        <v>0</v>
      </c>
    </row>
    <row r="7" spans="1:13" x14ac:dyDescent="0.25">
      <c r="A7" t="s">
        <v>28</v>
      </c>
      <c r="B7" t="s">
        <v>25</v>
      </c>
      <c r="C7" t="s">
        <v>26</v>
      </c>
      <c r="D7" t="s">
        <v>5</v>
      </c>
      <c r="E7" t="s">
        <v>27</v>
      </c>
      <c r="F7">
        <v>0.10923359754290135</v>
      </c>
      <c r="G7">
        <v>0.10035664977365573</v>
      </c>
      <c r="H7">
        <v>0.10164640786226202</v>
      </c>
      <c r="I7">
        <v>0.10223780434838335</v>
      </c>
      <c r="J7">
        <v>0.10436552970375805</v>
      </c>
      <c r="K7">
        <v>0.10260673474762562</v>
      </c>
      <c r="L7">
        <v>0.10126165761556578</v>
      </c>
      <c r="M7">
        <v>0.16087342377264918</v>
      </c>
    </row>
    <row r="8" spans="1:13" x14ac:dyDescent="0.25">
      <c r="A8" t="s">
        <v>28</v>
      </c>
      <c r="B8" t="s">
        <v>25</v>
      </c>
      <c r="C8" t="s">
        <v>26</v>
      </c>
      <c r="D8" t="s">
        <v>6</v>
      </c>
      <c r="E8" t="s">
        <v>27</v>
      </c>
      <c r="F8">
        <v>0.20533468031999999</v>
      </c>
      <c r="G8">
        <v>0.20894040016715201</v>
      </c>
      <c r="H8">
        <v>8.9828275838858301E-2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28</v>
      </c>
      <c r="B9" t="s">
        <v>25</v>
      </c>
      <c r="C9" t="s">
        <v>26</v>
      </c>
      <c r="D9" t="s">
        <v>7</v>
      </c>
      <c r="E9" t="s">
        <v>27</v>
      </c>
      <c r="F9">
        <v>4.331822181249808E-2</v>
      </c>
      <c r="G9">
        <v>3.2012972320410053E-2</v>
      </c>
      <c r="H9">
        <v>2.3237176261130008E-2</v>
      </c>
      <c r="I9">
        <v>1.461905944344161E-2</v>
      </c>
      <c r="J9">
        <v>9.0963986726228293E-3</v>
      </c>
      <c r="K9">
        <v>4.7908949662508003E-3</v>
      </c>
      <c r="L9">
        <v>0</v>
      </c>
      <c r="M9">
        <v>0</v>
      </c>
    </row>
    <row r="10" spans="1:13" x14ac:dyDescent="0.25">
      <c r="A10" t="s">
        <v>28</v>
      </c>
      <c r="B10" t="s">
        <v>25</v>
      </c>
      <c r="C10" t="s">
        <v>26</v>
      </c>
      <c r="D10" t="s">
        <v>8</v>
      </c>
      <c r="E10" t="s">
        <v>27</v>
      </c>
      <c r="F10">
        <v>3.1094496000000001E-5</v>
      </c>
      <c r="G10">
        <v>3.3295952662429365E-2</v>
      </c>
      <c r="H10">
        <v>6.6591872653939441E-2</v>
      </c>
      <c r="I10">
        <v>5.9832876761939435E-2</v>
      </c>
      <c r="J10">
        <v>0.24817864281870397</v>
      </c>
      <c r="K10">
        <v>0.22841894354496944</v>
      </c>
      <c r="L10">
        <v>0.20732075395877</v>
      </c>
      <c r="M10">
        <v>0.24683955495100993</v>
      </c>
    </row>
    <row r="11" spans="1:13" x14ac:dyDescent="0.25">
      <c r="A11" t="s">
        <v>28</v>
      </c>
      <c r="B11" t="s">
        <v>25</v>
      </c>
      <c r="C11" t="s">
        <v>26</v>
      </c>
      <c r="D11" t="s">
        <v>9</v>
      </c>
      <c r="E11" t="s">
        <v>27</v>
      </c>
      <c r="F11">
        <v>5.869487622610034E-2</v>
      </c>
      <c r="G11">
        <v>0.27976381484429352</v>
      </c>
      <c r="H11">
        <v>0.4544831914461373</v>
      </c>
      <c r="I11">
        <v>0.5298847381174181</v>
      </c>
      <c r="J11">
        <v>0.58568632112623864</v>
      </c>
      <c r="K11">
        <v>1.0707001899368083</v>
      </c>
      <c r="L11">
        <v>1.3404390822577712</v>
      </c>
      <c r="M11">
        <v>4.6061301440253466</v>
      </c>
    </row>
    <row r="12" spans="1:13" x14ac:dyDescent="0.25">
      <c r="A12" t="s">
        <v>28</v>
      </c>
      <c r="B12" t="s">
        <v>25</v>
      </c>
      <c r="C12" t="s">
        <v>26</v>
      </c>
      <c r="D12" t="s">
        <v>10</v>
      </c>
      <c r="E12" t="s">
        <v>27</v>
      </c>
      <c r="F12">
        <v>0.143105316867327</v>
      </c>
      <c r="G12">
        <v>0.20754922077071616</v>
      </c>
      <c r="H12">
        <v>0.31842499178705541</v>
      </c>
      <c r="I12">
        <v>0.3473743423007335</v>
      </c>
      <c r="J12">
        <v>0.344795899558761</v>
      </c>
      <c r="K12">
        <v>0.37879986444271735</v>
      </c>
      <c r="L12">
        <v>0.50204296283282501</v>
      </c>
      <c r="M12">
        <v>0.61226364227639152</v>
      </c>
    </row>
    <row r="13" spans="1:13" x14ac:dyDescent="0.25">
      <c r="A13" t="s">
        <v>28</v>
      </c>
      <c r="B13" t="s">
        <v>25</v>
      </c>
      <c r="C13" t="s">
        <v>26</v>
      </c>
      <c r="D13" t="s">
        <v>11</v>
      </c>
      <c r="E13" t="s">
        <v>27</v>
      </c>
      <c r="F13">
        <v>0</v>
      </c>
      <c r="G13">
        <v>5.0603509563257399E-3</v>
      </c>
      <c r="H13">
        <v>1.55552005499056E-2</v>
      </c>
      <c r="I13">
        <v>5.7848431955428999E-2</v>
      </c>
      <c r="J13">
        <v>3.5691575574678593E-2</v>
      </c>
      <c r="K13">
        <v>3.3904019372109503E-2</v>
      </c>
      <c r="L13">
        <v>3.3129835097696972E-2</v>
      </c>
      <c r="M13">
        <v>6.3484879769273708E-2</v>
      </c>
    </row>
    <row r="14" spans="1:13" x14ac:dyDescent="0.25">
      <c r="A14" t="s">
        <v>28</v>
      </c>
      <c r="B14" t="s">
        <v>25</v>
      </c>
      <c r="C14" t="s">
        <v>26</v>
      </c>
      <c r="D14" t="s">
        <v>12</v>
      </c>
      <c r="E14" t="s">
        <v>27</v>
      </c>
      <c r="F14">
        <v>3.8759730274323641E-3</v>
      </c>
      <c r="G14">
        <v>3.8047287893688544E-3</v>
      </c>
      <c r="H14">
        <v>2.6530617684335863E-3</v>
      </c>
      <c r="I14">
        <v>2.3064595476904228E-3</v>
      </c>
      <c r="J14">
        <v>2.3101691079646506E-3</v>
      </c>
      <c r="K14">
        <v>1.7555260655765751E-3</v>
      </c>
      <c r="L14">
        <v>1.2378537677569214E-2</v>
      </c>
      <c r="M14">
        <v>1.349999999999994E-3</v>
      </c>
    </row>
    <row r="15" spans="1:13" x14ac:dyDescent="0.25">
      <c r="A15" t="s">
        <v>28</v>
      </c>
      <c r="B15" s="8" t="s">
        <v>30</v>
      </c>
      <c r="C15" t="s">
        <v>26</v>
      </c>
      <c r="D15" t="s">
        <v>0</v>
      </c>
      <c r="E15" t="s">
        <v>27</v>
      </c>
      <c r="F15">
        <v>0</v>
      </c>
      <c r="G15">
        <v>0</v>
      </c>
      <c r="H15">
        <v>2.1419488063138901E-3</v>
      </c>
      <c r="I15">
        <v>8.5461304916981898E-3</v>
      </c>
      <c r="J15">
        <v>2.2848900779240903E-3</v>
      </c>
      <c r="K15">
        <v>2.0750750354644998E-3</v>
      </c>
      <c r="L15">
        <v>2.36419082998311E-5</v>
      </c>
      <c r="M15">
        <v>0</v>
      </c>
    </row>
    <row r="16" spans="1:13" x14ac:dyDescent="0.25">
      <c r="A16" t="s">
        <v>28</v>
      </c>
      <c r="B16" s="8" t="s">
        <v>30</v>
      </c>
      <c r="C16" t="s">
        <v>26</v>
      </c>
      <c r="D16" s="5" t="s">
        <v>1</v>
      </c>
      <c r="E16" t="s">
        <v>27</v>
      </c>
      <c r="F16">
        <v>1.1611078002469721E-2</v>
      </c>
      <c r="G16">
        <v>2.1287555823154791E-2</v>
      </c>
      <c r="H16">
        <v>4.03015747389402E-2</v>
      </c>
      <c r="I16">
        <v>4.941614762692001E-2</v>
      </c>
      <c r="J16">
        <v>5.9631682677972565E-2</v>
      </c>
      <c r="K16">
        <v>5.8436743948285186E-2</v>
      </c>
      <c r="L16">
        <v>3.3565719365058137E-2</v>
      </c>
      <c r="M16">
        <v>3.0622200537079741E-2</v>
      </c>
    </row>
    <row r="17" spans="1:13" x14ac:dyDescent="0.25">
      <c r="A17" t="s">
        <v>28</v>
      </c>
      <c r="B17" s="8" t="s">
        <v>30</v>
      </c>
      <c r="C17" t="s">
        <v>26</v>
      </c>
      <c r="D17" s="5" t="s">
        <v>2</v>
      </c>
      <c r="E17" t="s">
        <v>27</v>
      </c>
      <c r="F17">
        <v>9.4751739381529768E-2</v>
      </c>
      <c r="G17">
        <v>2.7995963177710793E-2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28</v>
      </c>
      <c r="B18" s="8" t="s">
        <v>30</v>
      </c>
      <c r="C18" t="s">
        <v>26</v>
      </c>
      <c r="D18" s="5" t="s">
        <v>3</v>
      </c>
      <c r="E18" s="8" t="s">
        <v>27</v>
      </c>
      <c r="F18">
        <v>0.19846704726837505</v>
      </c>
      <c r="G18">
        <v>7.089071223875093E-2</v>
      </c>
      <c r="H18">
        <v>0.11136668267413899</v>
      </c>
      <c r="I18">
        <v>0.11560990282247328</v>
      </c>
      <c r="J18">
        <v>6.814729916001265E-2</v>
      </c>
      <c r="K18">
        <v>5.4991797634121001E-2</v>
      </c>
      <c r="L18">
        <v>5.92368218842997E-3</v>
      </c>
      <c r="M18">
        <v>5.1011859398992776E-3</v>
      </c>
    </row>
    <row r="19" spans="1:13" x14ac:dyDescent="0.25">
      <c r="A19" t="s">
        <v>28</v>
      </c>
      <c r="B19" s="8" t="s">
        <v>30</v>
      </c>
      <c r="C19" t="s">
        <v>26</v>
      </c>
      <c r="D19" s="5" t="s">
        <v>4</v>
      </c>
      <c r="E19" t="s">
        <v>27</v>
      </c>
      <c r="F19">
        <v>2.7173678097837609E-2</v>
      </c>
      <c r="G19">
        <v>2.1856717973583888E-2</v>
      </c>
      <c r="H19">
        <v>2.2963033564384068E-2</v>
      </c>
      <c r="I19">
        <v>1.4065750473409869E-2</v>
      </c>
      <c r="J19">
        <v>3.2944640975999899E-4</v>
      </c>
      <c r="K19">
        <v>0</v>
      </c>
      <c r="L19">
        <v>0</v>
      </c>
      <c r="M19">
        <v>0</v>
      </c>
    </row>
    <row r="20" spans="1:13" x14ac:dyDescent="0.25">
      <c r="A20" t="s">
        <v>28</v>
      </c>
      <c r="B20" s="8" t="s">
        <v>30</v>
      </c>
      <c r="C20" t="s">
        <v>26</v>
      </c>
      <c r="D20" s="5" t="s">
        <v>5</v>
      </c>
      <c r="E20" t="s">
        <v>27</v>
      </c>
      <c r="F20">
        <v>0.10923359754290135</v>
      </c>
      <c r="G20">
        <v>0.10035666260311214</v>
      </c>
      <c r="H20">
        <v>0.10105111147252133</v>
      </c>
      <c r="I20">
        <v>0.10242764137003905</v>
      </c>
      <c r="J20">
        <v>0.10436552970375805</v>
      </c>
      <c r="K20">
        <v>0.10330534917922873</v>
      </c>
      <c r="L20">
        <v>0.10126165761556578</v>
      </c>
      <c r="M20">
        <v>0.16087342377264918</v>
      </c>
    </row>
    <row r="21" spans="1:13" x14ac:dyDescent="0.25">
      <c r="A21" t="s">
        <v>28</v>
      </c>
      <c r="B21" s="8" t="s">
        <v>30</v>
      </c>
      <c r="C21" t="s">
        <v>26</v>
      </c>
      <c r="D21" s="5" t="s">
        <v>6</v>
      </c>
      <c r="E21" t="s">
        <v>27</v>
      </c>
      <c r="F21">
        <v>0.20533468031999999</v>
      </c>
      <c r="G21">
        <v>0.20894040016715201</v>
      </c>
      <c r="H21">
        <v>8.9828275838858301E-2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28</v>
      </c>
      <c r="B22" s="8" t="s">
        <v>30</v>
      </c>
      <c r="C22" t="s">
        <v>26</v>
      </c>
      <c r="D22" s="5" t="s">
        <v>7</v>
      </c>
      <c r="E22" t="s">
        <v>27</v>
      </c>
      <c r="F22">
        <v>4.331822181249808E-2</v>
      </c>
      <c r="G22">
        <v>3.2012972320410053E-2</v>
      </c>
      <c r="H22">
        <v>2.3237176261130008E-2</v>
      </c>
      <c r="I22">
        <v>1.461905944344161E-2</v>
      </c>
      <c r="J22">
        <v>9.1910074877143404E-3</v>
      </c>
      <c r="K22">
        <v>4.8287675932516495E-3</v>
      </c>
      <c r="L22">
        <v>0</v>
      </c>
      <c r="M22">
        <v>0</v>
      </c>
    </row>
    <row r="23" spans="1:13" x14ac:dyDescent="0.25">
      <c r="A23" t="s">
        <v>28</v>
      </c>
      <c r="B23" s="8" t="s">
        <v>30</v>
      </c>
      <c r="C23" t="s">
        <v>26</v>
      </c>
      <c r="D23" s="5" t="s">
        <v>8</v>
      </c>
      <c r="E23" t="s">
        <v>27</v>
      </c>
      <c r="F23">
        <v>3.1094494731937198E-5</v>
      </c>
      <c r="G23">
        <v>3.3277664179279513E-2</v>
      </c>
      <c r="H23">
        <v>6.659174759408952E-2</v>
      </c>
      <c r="I23">
        <v>6.3024425641633838E-2</v>
      </c>
      <c r="J23">
        <v>0.16762321212856796</v>
      </c>
      <c r="K23">
        <v>0.27871913593975339</v>
      </c>
      <c r="L23">
        <v>0.28555656237664001</v>
      </c>
      <c r="M23">
        <v>0.30273673487600988</v>
      </c>
    </row>
    <row r="24" spans="1:13" x14ac:dyDescent="0.25">
      <c r="A24" t="s">
        <v>28</v>
      </c>
      <c r="B24" s="8" t="s">
        <v>30</v>
      </c>
      <c r="C24" t="s">
        <v>26</v>
      </c>
      <c r="D24" s="5" t="s">
        <v>9</v>
      </c>
      <c r="E24" t="s">
        <v>27</v>
      </c>
      <c r="F24">
        <v>5.8694876226100333E-2</v>
      </c>
      <c r="G24">
        <v>0.27966490949516581</v>
      </c>
      <c r="H24">
        <v>0.4472001698834403</v>
      </c>
      <c r="I24">
        <v>0.53181788799300933</v>
      </c>
      <c r="J24">
        <v>0.55753946567882062</v>
      </c>
      <c r="K24">
        <v>0.94455884435090864</v>
      </c>
      <c r="L24">
        <v>1.1726244403441708</v>
      </c>
      <c r="M24">
        <v>4.2559032587701466</v>
      </c>
    </row>
    <row r="25" spans="1:13" x14ac:dyDescent="0.25">
      <c r="A25" t="s">
        <v>28</v>
      </c>
      <c r="B25" s="8" t="s">
        <v>30</v>
      </c>
      <c r="C25" t="s">
        <v>26</v>
      </c>
      <c r="D25" s="5" t="s">
        <v>10</v>
      </c>
      <c r="E25" t="s">
        <v>27</v>
      </c>
      <c r="F25">
        <v>0.14310543854431002</v>
      </c>
      <c r="G25">
        <v>0.20740161803307458</v>
      </c>
      <c r="H25">
        <v>0.31120415335316398</v>
      </c>
      <c r="I25">
        <v>0.34066473173380202</v>
      </c>
      <c r="J25">
        <v>0.33358974751993298</v>
      </c>
      <c r="K25">
        <v>0.28104494954046549</v>
      </c>
      <c r="L25">
        <v>0.26944649606849203</v>
      </c>
      <c r="M25">
        <v>0.23571630291728052</v>
      </c>
    </row>
    <row r="26" spans="1:13" x14ac:dyDescent="0.25">
      <c r="A26" t="s">
        <v>28</v>
      </c>
      <c r="B26" s="8" t="s">
        <v>30</v>
      </c>
      <c r="C26" t="s">
        <v>26</v>
      </c>
      <c r="D26" s="5" t="s">
        <v>11</v>
      </c>
      <c r="E26" t="s">
        <v>27</v>
      </c>
      <c r="F26">
        <v>0</v>
      </c>
      <c r="G26">
        <v>4.8092079844785501E-3</v>
      </c>
      <c r="H26">
        <v>1.55552005499056E-2</v>
      </c>
      <c r="I26">
        <v>2.9338241689409798E-2</v>
      </c>
      <c r="J26">
        <v>1.8466142545042297E-2</v>
      </c>
      <c r="K26">
        <v>1.8757169842727302E-2</v>
      </c>
      <c r="L26">
        <v>3.0169209928324579E-2</v>
      </c>
      <c r="M26">
        <v>6.3484879769273708E-2</v>
      </c>
    </row>
    <row r="27" spans="1:13" x14ac:dyDescent="0.25">
      <c r="A27" t="s">
        <v>28</v>
      </c>
      <c r="B27" s="8" t="s">
        <v>30</v>
      </c>
      <c r="C27" t="s">
        <v>26</v>
      </c>
      <c r="D27" t="s">
        <v>12</v>
      </c>
      <c r="E27" t="s">
        <v>27</v>
      </c>
      <c r="F27">
        <v>3.8759730274323641E-3</v>
      </c>
      <c r="G27">
        <v>3.8046701443203092E-3</v>
      </c>
      <c r="H27">
        <v>2.648687768433587E-3</v>
      </c>
      <c r="I27">
        <v>2.2862698979570417E-3</v>
      </c>
      <c r="J27">
        <v>2.2926189476906783E-3</v>
      </c>
      <c r="K27">
        <v>1.7687421833847941E-3</v>
      </c>
      <c r="L27">
        <v>1.2798961028104298E-2</v>
      </c>
      <c r="M27">
        <v>1.349999999999994E-3</v>
      </c>
    </row>
    <row r="28" spans="1:13" x14ac:dyDescent="0.25">
      <c r="A28" t="s">
        <v>28</v>
      </c>
      <c r="B28" s="8" t="s">
        <v>31</v>
      </c>
      <c r="C28" t="s">
        <v>26</v>
      </c>
      <c r="D28" s="8" t="s">
        <v>0</v>
      </c>
      <c r="E28" t="s">
        <v>27</v>
      </c>
      <c r="F28">
        <v>0</v>
      </c>
      <c r="G28">
        <v>0</v>
      </c>
      <c r="H28">
        <v>2.1197398693408196E-3</v>
      </c>
      <c r="I28">
        <v>8.872346761719439E-3</v>
      </c>
      <c r="J28">
        <v>2.2616474682793999E-3</v>
      </c>
      <c r="K28">
        <v>2.0535594835796099E-3</v>
      </c>
      <c r="L28">
        <v>0</v>
      </c>
      <c r="M28">
        <v>0</v>
      </c>
    </row>
    <row r="29" spans="1:13" x14ac:dyDescent="0.25">
      <c r="A29" t="s">
        <v>28</v>
      </c>
      <c r="B29" s="8" t="s">
        <v>31</v>
      </c>
      <c r="C29" t="s">
        <v>26</v>
      </c>
      <c r="D29" s="8" t="s">
        <v>1</v>
      </c>
      <c r="E29" t="s">
        <v>27</v>
      </c>
      <c r="F29">
        <v>1.1611078002469728E-2</v>
      </c>
      <c r="G29">
        <v>2.1287555823154791E-2</v>
      </c>
      <c r="H29">
        <v>4.0309112121534256E-2</v>
      </c>
      <c r="I29">
        <v>4.9416147626919996E-2</v>
      </c>
      <c r="J29">
        <v>5.9631682677972565E-2</v>
      </c>
      <c r="K29">
        <v>5.8436743948285186E-2</v>
      </c>
      <c r="L29">
        <v>3.3565719365058137E-2</v>
      </c>
      <c r="M29">
        <v>3.0622200537079741E-2</v>
      </c>
    </row>
    <row r="30" spans="1:13" x14ac:dyDescent="0.25">
      <c r="A30" t="s">
        <v>28</v>
      </c>
      <c r="B30" s="8" t="s">
        <v>31</v>
      </c>
      <c r="C30" t="s">
        <v>26</v>
      </c>
      <c r="D30" s="8" t="s">
        <v>2</v>
      </c>
      <c r="E30" t="s">
        <v>27</v>
      </c>
      <c r="F30">
        <v>9.4751739381529768E-2</v>
      </c>
      <c r="G30">
        <v>2.7995963177710793E-2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t="s">
        <v>28</v>
      </c>
      <c r="B31" s="8" t="s">
        <v>31</v>
      </c>
      <c r="C31" t="s">
        <v>26</v>
      </c>
      <c r="D31" s="8" t="s">
        <v>3</v>
      </c>
      <c r="E31" t="s">
        <v>27</v>
      </c>
      <c r="F31">
        <v>0.19846704726837505</v>
      </c>
      <c r="G31">
        <v>7.0890819384923823E-2</v>
      </c>
      <c r="H31">
        <v>0.11255179401980094</v>
      </c>
      <c r="I31">
        <v>0.11494712841327828</v>
      </c>
      <c r="J31">
        <v>6.748256529061411E-2</v>
      </c>
      <c r="K31">
        <v>5.4372561223292877E-2</v>
      </c>
      <c r="L31">
        <v>5.8584466653603205E-3</v>
      </c>
      <c r="M31">
        <v>5.0196351744412702E-3</v>
      </c>
    </row>
    <row r="32" spans="1:13" x14ac:dyDescent="0.25">
      <c r="A32" t="s">
        <v>28</v>
      </c>
      <c r="B32" s="8" t="s">
        <v>31</v>
      </c>
      <c r="C32" t="s">
        <v>26</v>
      </c>
      <c r="D32" s="8" t="s">
        <v>4</v>
      </c>
      <c r="E32" t="s">
        <v>27</v>
      </c>
      <c r="F32">
        <v>2.7173678097837609E-2</v>
      </c>
      <c r="G32">
        <v>2.1856717973583888E-2</v>
      </c>
      <c r="H32">
        <v>2.2963033564384068E-2</v>
      </c>
      <c r="I32">
        <v>1.406575047340982E-2</v>
      </c>
      <c r="J32">
        <v>3.2944640975999899E-4</v>
      </c>
      <c r="K32">
        <v>0</v>
      </c>
      <c r="L32">
        <v>0</v>
      </c>
      <c r="M32">
        <v>0</v>
      </c>
    </row>
    <row r="33" spans="1:13" x14ac:dyDescent="0.25">
      <c r="A33" t="s">
        <v>28</v>
      </c>
      <c r="B33" s="8" t="s">
        <v>31</v>
      </c>
      <c r="C33" t="s">
        <v>26</v>
      </c>
      <c r="D33" s="8" t="s">
        <v>5</v>
      </c>
      <c r="E33" t="s">
        <v>27</v>
      </c>
      <c r="F33">
        <v>0.10923359754290135</v>
      </c>
      <c r="G33">
        <v>0.10035669879541453</v>
      </c>
      <c r="H33">
        <v>0.10170163631050413</v>
      </c>
      <c r="I33">
        <v>0.10242764137003903</v>
      </c>
      <c r="J33">
        <v>0.10436552970375805</v>
      </c>
      <c r="K33">
        <v>0.10330534917922872</v>
      </c>
      <c r="L33">
        <v>0.10126165761556578</v>
      </c>
      <c r="M33">
        <v>0.16087342377264918</v>
      </c>
    </row>
    <row r="34" spans="1:13" x14ac:dyDescent="0.25">
      <c r="A34" t="s">
        <v>28</v>
      </c>
      <c r="B34" s="8" t="s">
        <v>31</v>
      </c>
      <c r="C34" t="s">
        <v>26</v>
      </c>
      <c r="D34" s="8" t="s">
        <v>6</v>
      </c>
      <c r="E34" t="s">
        <v>27</v>
      </c>
      <c r="F34">
        <v>0.20533468031999999</v>
      </c>
      <c r="G34">
        <v>0.20894040016715201</v>
      </c>
      <c r="H34">
        <v>8.9828275838858301E-2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t="s">
        <v>28</v>
      </c>
      <c r="B35" s="8" t="s">
        <v>31</v>
      </c>
      <c r="C35" t="s">
        <v>26</v>
      </c>
      <c r="D35" s="8" t="s">
        <v>7</v>
      </c>
      <c r="E35" t="s">
        <v>27</v>
      </c>
      <c r="F35">
        <v>4.331822181249808E-2</v>
      </c>
      <c r="G35">
        <v>3.2012972320410053E-2</v>
      </c>
      <c r="H35">
        <v>2.3237176261130008E-2</v>
      </c>
      <c r="I35">
        <v>1.461905944344161E-2</v>
      </c>
      <c r="J35">
        <v>9.2112789745254098E-3</v>
      </c>
      <c r="K35">
        <v>4.8287675932516495E-3</v>
      </c>
      <c r="L35">
        <v>0</v>
      </c>
      <c r="M35">
        <v>0</v>
      </c>
    </row>
    <row r="36" spans="1:13" x14ac:dyDescent="0.25">
      <c r="A36" t="s">
        <v>28</v>
      </c>
      <c r="B36" s="8" t="s">
        <v>31</v>
      </c>
      <c r="C36" t="s">
        <v>26</v>
      </c>
      <c r="D36" s="8" t="s">
        <v>8</v>
      </c>
      <c r="E36" s="8" t="s">
        <v>27</v>
      </c>
      <c r="F36">
        <v>3.1094496000000001E-5</v>
      </c>
      <c r="G36">
        <v>3.3277700371581856E-2</v>
      </c>
      <c r="H36">
        <v>6.659174759408952E-2</v>
      </c>
      <c r="I36">
        <v>6.2589456016401299E-2</v>
      </c>
      <c r="J36">
        <v>0.16597535233290797</v>
      </c>
      <c r="K36">
        <v>0.24043176875989641</v>
      </c>
      <c r="L36">
        <v>0.28878168890870198</v>
      </c>
      <c r="M36">
        <v>0.31104869569984489</v>
      </c>
    </row>
    <row r="37" spans="1:13" x14ac:dyDescent="0.25">
      <c r="A37" t="s">
        <v>28</v>
      </c>
      <c r="B37" s="8" t="s">
        <v>31</v>
      </c>
      <c r="C37" t="s">
        <v>26</v>
      </c>
      <c r="D37" s="8" t="s">
        <v>9</v>
      </c>
      <c r="E37" s="8" t="s">
        <v>27</v>
      </c>
      <c r="F37">
        <v>5.869487622610034E-2</v>
      </c>
      <c r="G37">
        <v>0.27966528145733588</v>
      </c>
      <c r="H37">
        <v>0.4588003574345772</v>
      </c>
      <c r="I37">
        <v>0.52936410897156927</v>
      </c>
      <c r="J37">
        <v>0.55617252833334707</v>
      </c>
      <c r="K37">
        <v>0.97260522289790885</v>
      </c>
      <c r="L37">
        <v>1.196225775524467</v>
      </c>
      <c r="M37">
        <v>4.3510347857102234</v>
      </c>
    </row>
    <row r="38" spans="1:13" x14ac:dyDescent="0.25">
      <c r="A38" t="s">
        <v>28</v>
      </c>
      <c r="B38" s="8" t="s">
        <v>31</v>
      </c>
      <c r="C38" t="s">
        <v>26</v>
      </c>
      <c r="D38" s="8" t="s">
        <v>10</v>
      </c>
      <c r="E38" s="8" t="s">
        <v>27</v>
      </c>
      <c r="F38">
        <v>0.143105438544323</v>
      </c>
      <c r="G38">
        <v>0.2074018284469471</v>
      </c>
      <c r="H38">
        <v>0.31443732284192499</v>
      </c>
      <c r="I38">
        <v>0.33962293444244007</v>
      </c>
      <c r="J38">
        <v>0.33253670590111095</v>
      </c>
      <c r="K38">
        <v>0.29548585189475446</v>
      </c>
      <c r="L38">
        <v>0.25401640599636699</v>
      </c>
      <c r="M38">
        <v>0.21260444420477154</v>
      </c>
    </row>
    <row r="39" spans="1:13" x14ac:dyDescent="0.25">
      <c r="A39" t="s">
        <v>28</v>
      </c>
      <c r="B39" s="8" t="s">
        <v>31</v>
      </c>
      <c r="C39" t="s">
        <v>26</v>
      </c>
      <c r="D39" s="8" t="s">
        <v>11</v>
      </c>
      <c r="E39" s="8" t="s">
        <v>27</v>
      </c>
      <c r="F39">
        <v>0</v>
      </c>
      <c r="G39">
        <v>4.8093133552899302E-3</v>
      </c>
      <c r="H39">
        <v>1.56186354894475E-2</v>
      </c>
      <c r="I39">
        <v>2.9213020959971199E-2</v>
      </c>
      <c r="J39">
        <v>1.8171572845413899E-2</v>
      </c>
      <c r="K39">
        <v>2.0108005862947198E-2</v>
      </c>
      <c r="L39">
        <v>3.0174804123790401E-2</v>
      </c>
      <c r="M39">
        <v>6.3484879769273708E-2</v>
      </c>
    </row>
    <row r="40" spans="1:13" x14ac:dyDescent="0.25">
      <c r="A40" t="s">
        <v>28</v>
      </c>
      <c r="B40" s="8" t="s">
        <v>31</v>
      </c>
      <c r="C40" t="s">
        <v>26</v>
      </c>
      <c r="D40" s="8" t="s">
        <v>12</v>
      </c>
      <c r="E40" s="8" t="s">
        <v>27</v>
      </c>
      <c r="F40">
        <v>3.8759730274323641E-3</v>
      </c>
      <c r="G40">
        <v>3.804670220221591E-3</v>
      </c>
      <c r="H40">
        <v>2.6530617684335863E-3</v>
      </c>
      <c r="I40">
        <v>2.2842979476904225E-3</v>
      </c>
      <c r="J40">
        <v>2.2853712577223699E-3</v>
      </c>
      <c r="K40">
        <v>1.7687421833847941E-3</v>
      </c>
      <c r="L40">
        <v>1.3005538143654096E-2</v>
      </c>
      <c r="M40">
        <v>1.349999999999994E-3</v>
      </c>
    </row>
    <row r="41" spans="1:13" x14ac:dyDescent="0.25">
      <c r="A41" t="s">
        <v>28</v>
      </c>
      <c r="B41" s="8" t="s">
        <v>32</v>
      </c>
      <c r="C41" t="s">
        <v>26</v>
      </c>
      <c r="D41" t="s">
        <v>0</v>
      </c>
      <c r="E41" s="8" t="s">
        <v>27</v>
      </c>
      <c r="F41">
        <v>2E-3</v>
      </c>
      <c r="G41">
        <v>3.0000000000000001E-3</v>
      </c>
      <c r="H41">
        <v>4.0000000000000001E-3</v>
      </c>
      <c r="I41">
        <v>5.0000000000000001E-3</v>
      </c>
      <c r="J41">
        <v>6.0000000000000001E-3</v>
      </c>
      <c r="K41">
        <v>7.0000000000000001E-3</v>
      </c>
      <c r="L41">
        <v>8.0000000000000002E-3</v>
      </c>
      <c r="M41">
        <v>8.9999999999999993E-3</v>
      </c>
    </row>
    <row r="42" spans="1:13" x14ac:dyDescent="0.25">
      <c r="A42" t="s">
        <v>28</v>
      </c>
      <c r="B42" s="8" t="s">
        <v>32</v>
      </c>
      <c r="C42" t="s">
        <v>26</v>
      </c>
      <c r="D42" s="11" t="s">
        <v>1</v>
      </c>
      <c r="E42" s="8" t="s">
        <v>27</v>
      </c>
      <c r="F42">
        <v>1.1611078002469721E-2</v>
      </c>
      <c r="G42">
        <v>2.1287555823154791E-2</v>
      </c>
      <c r="H42">
        <v>4.0387249216685801E-2</v>
      </c>
      <c r="I42">
        <v>4.9741426114258393E-2</v>
      </c>
      <c r="J42">
        <v>5.9616911134393574E-2</v>
      </c>
      <c r="K42">
        <v>5.8436743948285186E-2</v>
      </c>
      <c r="L42">
        <v>3.3565719365058144E-2</v>
      </c>
      <c r="M42">
        <v>3.0672214415770321E-2</v>
      </c>
    </row>
    <row r="43" spans="1:13" x14ac:dyDescent="0.25">
      <c r="A43" t="s">
        <v>28</v>
      </c>
      <c r="B43" s="8" t="s">
        <v>32</v>
      </c>
      <c r="C43" t="s">
        <v>26</v>
      </c>
      <c r="D43" s="11" t="s">
        <v>2</v>
      </c>
      <c r="E43" s="8" t="s">
        <v>27</v>
      </c>
      <c r="F43">
        <v>9.4751739381529768E-2</v>
      </c>
      <c r="G43">
        <v>2.7995963177710793E-2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t="s">
        <v>28</v>
      </c>
      <c r="B44" s="8" t="s">
        <v>32</v>
      </c>
      <c r="C44" s="8" t="s">
        <v>26</v>
      </c>
      <c r="D44" s="11" t="s">
        <v>3</v>
      </c>
      <c r="E44" s="8" t="s">
        <v>27</v>
      </c>
      <c r="F44">
        <v>0.19846704726837505</v>
      </c>
      <c r="G44">
        <v>7.1053346593147659E-2</v>
      </c>
      <c r="H44">
        <v>0.10938618376863607</v>
      </c>
      <c r="I44">
        <v>0.11871994381493496</v>
      </c>
      <c r="J44">
        <v>9.0654855773133119E-2</v>
      </c>
      <c r="K44">
        <v>5.583926405622372E-2</v>
      </c>
      <c r="L44">
        <v>5.0853215998723205E-3</v>
      </c>
      <c r="M44">
        <v>3.82926314765212E-3</v>
      </c>
    </row>
    <row r="45" spans="1:13" x14ac:dyDescent="0.25">
      <c r="A45" t="s">
        <v>28</v>
      </c>
      <c r="B45" s="8" t="s">
        <v>32</v>
      </c>
      <c r="C45" s="8" t="s">
        <v>26</v>
      </c>
      <c r="D45" s="11" t="s">
        <v>4</v>
      </c>
      <c r="E45" s="8" t="s">
        <v>27</v>
      </c>
      <c r="F45">
        <v>2.0558731894797608E-2</v>
      </c>
      <c r="G45">
        <v>1.681675896174389E-2</v>
      </c>
      <c r="H45">
        <v>1.9316049103409057E-2</v>
      </c>
      <c r="I45">
        <v>1.1900832301952725E-2</v>
      </c>
      <c r="J45">
        <v>1.444897152E-5</v>
      </c>
      <c r="K45">
        <v>0</v>
      </c>
      <c r="L45">
        <v>0</v>
      </c>
      <c r="M45">
        <v>0</v>
      </c>
    </row>
    <row r="46" spans="1:13" x14ac:dyDescent="0.25">
      <c r="A46" t="s">
        <v>28</v>
      </c>
      <c r="B46" s="8" t="s">
        <v>32</v>
      </c>
      <c r="C46" s="8" t="s">
        <v>26</v>
      </c>
      <c r="D46" s="11" t="s">
        <v>5</v>
      </c>
      <c r="E46" s="8" t="s">
        <v>27</v>
      </c>
      <c r="F46">
        <v>0.10923359754290135</v>
      </c>
      <c r="G46">
        <v>0.10031012363070414</v>
      </c>
      <c r="H46">
        <v>0.10113201422863323</v>
      </c>
      <c r="I46">
        <v>0.10224550123810795</v>
      </c>
      <c r="J46">
        <v>0.10436552970375805</v>
      </c>
      <c r="K46">
        <v>0.10370407676351963</v>
      </c>
      <c r="L46">
        <v>0.10220110542657668</v>
      </c>
      <c r="M46">
        <v>0.1608734237725862</v>
      </c>
    </row>
    <row r="47" spans="1:13" x14ac:dyDescent="0.25">
      <c r="A47" t="s">
        <v>28</v>
      </c>
      <c r="B47" s="8" t="s">
        <v>32</v>
      </c>
      <c r="C47" s="8" t="s">
        <v>26</v>
      </c>
      <c r="D47" s="11" t="s">
        <v>6</v>
      </c>
      <c r="E47" s="8" t="s">
        <v>27</v>
      </c>
      <c r="F47">
        <v>0.20533468031999999</v>
      </c>
      <c r="G47">
        <v>0.20894040016715201</v>
      </c>
      <c r="H47">
        <v>8.9828275838858301E-2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t="s">
        <v>28</v>
      </c>
      <c r="B48" s="8" t="s">
        <v>32</v>
      </c>
      <c r="C48" s="8" t="s">
        <v>26</v>
      </c>
      <c r="D48" s="11" t="s">
        <v>7</v>
      </c>
      <c r="E48" s="8" t="s">
        <v>27</v>
      </c>
      <c r="F48">
        <v>4.331822181249808E-2</v>
      </c>
      <c r="G48">
        <v>3.2012972320410053E-2</v>
      </c>
      <c r="H48">
        <v>2.3159747779261608E-2</v>
      </c>
      <c r="I48">
        <v>1.461905944344161E-2</v>
      </c>
      <c r="J48">
        <v>8.6023712937450605E-3</v>
      </c>
      <c r="K48">
        <v>4.86748183418586E-3</v>
      </c>
      <c r="L48">
        <v>0</v>
      </c>
      <c r="M48">
        <v>0</v>
      </c>
    </row>
    <row r="49" spans="1:13" x14ac:dyDescent="0.25">
      <c r="A49" t="s">
        <v>28</v>
      </c>
      <c r="B49" s="8" t="s">
        <v>32</v>
      </c>
      <c r="C49" s="8" t="s">
        <v>26</v>
      </c>
      <c r="D49" s="11" t="s">
        <v>8</v>
      </c>
      <c r="E49" s="8" t="s">
        <v>27</v>
      </c>
      <c r="F49">
        <v>3.1094496000000001E-5</v>
      </c>
      <c r="G49">
        <v>3.3240766198130912E-2</v>
      </c>
      <c r="H49">
        <v>6.659311357465994E-2</v>
      </c>
      <c r="I49">
        <v>7.0349748588894589E-2</v>
      </c>
      <c r="J49">
        <v>8.1405638494731938E-2</v>
      </c>
      <c r="K49">
        <v>9.8913402645132209E-2</v>
      </c>
      <c r="L49">
        <v>0.24097246216727802</v>
      </c>
      <c r="M49">
        <v>0.24680809552940189</v>
      </c>
    </row>
    <row r="50" spans="1:13" x14ac:dyDescent="0.25">
      <c r="A50" t="s">
        <v>28</v>
      </c>
      <c r="B50" s="8" t="s">
        <v>32</v>
      </c>
      <c r="C50" s="8" t="s">
        <v>26</v>
      </c>
      <c r="D50" s="11" t="s">
        <v>9</v>
      </c>
      <c r="E50" s="8" t="s">
        <v>27</v>
      </c>
      <c r="F50">
        <v>5.8694876216182794E-2</v>
      </c>
      <c r="G50">
        <v>0.27917437670503481</v>
      </c>
      <c r="H50">
        <v>0.44710103869096718</v>
      </c>
      <c r="I50">
        <v>0.55583316296583407</v>
      </c>
      <c r="J50">
        <v>0.56967730386416371</v>
      </c>
      <c r="K50">
        <v>0.58765987282326815</v>
      </c>
      <c r="L50">
        <v>0.86720889891758524</v>
      </c>
      <c r="M50">
        <v>2.9887428716045652</v>
      </c>
    </row>
    <row r="51" spans="1:13" x14ac:dyDescent="0.25">
      <c r="A51" t="s">
        <v>28</v>
      </c>
      <c r="B51" s="8" t="s">
        <v>32</v>
      </c>
      <c r="C51" s="8" t="s">
        <v>26</v>
      </c>
      <c r="D51" s="11" t="s">
        <v>10</v>
      </c>
      <c r="E51" s="8" t="s">
        <v>27</v>
      </c>
      <c r="F51">
        <v>0.143108707568118</v>
      </c>
      <c r="G51">
        <v>0.20704622228448988</v>
      </c>
      <c r="H51">
        <v>0.30932807684461222</v>
      </c>
      <c r="I51">
        <v>0.35601305999124944</v>
      </c>
      <c r="J51">
        <v>0.34563291621164499</v>
      </c>
      <c r="K51">
        <v>0.26662205983964804</v>
      </c>
      <c r="L51">
        <v>0.13200883405748148</v>
      </c>
      <c r="M51">
        <v>6.9429299821135194E-3</v>
      </c>
    </row>
    <row r="52" spans="1:13" x14ac:dyDescent="0.25">
      <c r="A52" t="s">
        <v>28</v>
      </c>
      <c r="B52" s="8" t="s">
        <v>32</v>
      </c>
      <c r="C52" s="8" t="s">
        <v>26</v>
      </c>
      <c r="D52" s="11" t="s">
        <v>11</v>
      </c>
      <c r="E52" s="8" t="s">
        <v>27</v>
      </c>
      <c r="F52">
        <v>0</v>
      </c>
      <c r="G52">
        <v>4.6577835192896802E-3</v>
      </c>
      <c r="H52">
        <v>1.55552005499056E-2</v>
      </c>
      <c r="I52">
        <v>3.7281509933051099E-2</v>
      </c>
      <c r="J52">
        <v>4.2324988566942702E-2</v>
      </c>
      <c r="K52">
        <v>3.3139954543390998E-2</v>
      </c>
      <c r="L52">
        <v>3.5622626766907348E-2</v>
      </c>
      <c r="M52">
        <v>0.1071630314675989</v>
      </c>
    </row>
    <row r="53" spans="1:13" x14ac:dyDescent="0.25">
      <c r="A53" t="s">
        <v>28</v>
      </c>
      <c r="B53" s="8" t="s">
        <v>32</v>
      </c>
      <c r="C53" s="8" t="s">
        <v>26</v>
      </c>
      <c r="D53" t="s">
        <v>12</v>
      </c>
      <c r="E53" s="8" t="s">
        <v>27</v>
      </c>
      <c r="F53">
        <v>3.8759730274323641E-3</v>
      </c>
      <c r="G53">
        <v>3.7985822553656067E-3</v>
      </c>
      <c r="H53">
        <v>2.648687768433587E-3</v>
      </c>
      <c r="I53">
        <v>2.3190295783487355E-3</v>
      </c>
      <c r="J53">
        <v>2.3102399983756096E-3</v>
      </c>
      <c r="K53">
        <v>1.7831467080423277E-3</v>
      </c>
      <c r="L53">
        <v>7.4177078601787233E-3</v>
      </c>
      <c r="M53">
        <v>1.349999999999994E-3</v>
      </c>
    </row>
    <row r="54" spans="1:13" x14ac:dyDescent="0.25">
      <c r="A54" t="s">
        <v>28</v>
      </c>
      <c r="B54" s="8" t="s">
        <v>25</v>
      </c>
      <c r="C54" s="18" t="s">
        <v>26</v>
      </c>
      <c r="D54" s="8" t="s">
        <v>33</v>
      </c>
      <c r="E54" s="8" t="s">
        <v>27</v>
      </c>
      <c r="F54" s="12">
        <v>4.8319937587335899E-7</v>
      </c>
      <c r="G54" s="8">
        <v>5.9429057308227097E-2</v>
      </c>
      <c r="H54" s="8">
        <v>9.8558244294825195E-2</v>
      </c>
      <c r="I54" s="8">
        <v>0.128327430072565</v>
      </c>
      <c r="J54" s="8">
        <v>0.153623008477492</v>
      </c>
      <c r="K54" s="8">
        <v>0.46068898409783698</v>
      </c>
      <c r="L54" s="8">
        <v>0.61679610054856604</v>
      </c>
      <c r="M54" s="8">
        <v>0.26084064400262102</v>
      </c>
    </row>
    <row r="55" spans="1:13" x14ac:dyDescent="0.25">
      <c r="A55" t="s">
        <v>28</v>
      </c>
      <c r="B55" s="8" t="s">
        <v>25</v>
      </c>
      <c r="C55" s="18" t="s">
        <v>26</v>
      </c>
      <c r="D55" s="8" t="s">
        <v>34</v>
      </c>
      <c r="E55" s="8" t="s">
        <v>27</v>
      </c>
      <c r="F55" s="8">
        <v>5.0743261220640302E-4</v>
      </c>
      <c r="G55" s="8">
        <v>3.4337707741303699E-4</v>
      </c>
      <c r="H55" s="8">
        <v>3.4395839710001601E-4</v>
      </c>
      <c r="I55" s="8">
        <v>9.2040102249795908E-3</v>
      </c>
      <c r="J55" s="8">
        <v>5.0809242683205399E-4</v>
      </c>
      <c r="K55" s="8">
        <v>5.0809242683205399E-4</v>
      </c>
      <c r="L55" s="8">
        <v>1.6905990795509699E-2</v>
      </c>
      <c r="M55" s="8">
        <v>0</v>
      </c>
    </row>
    <row r="56" spans="1:13" x14ac:dyDescent="0.25">
      <c r="A56" t="s">
        <v>28</v>
      </c>
      <c r="B56" s="8" t="s">
        <v>30</v>
      </c>
      <c r="C56" s="18" t="s">
        <v>26</v>
      </c>
      <c r="D56" s="8" t="s">
        <v>33</v>
      </c>
      <c r="E56" s="8" t="s">
        <v>27</v>
      </c>
      <c r="F56" s="12">
        <v>4.8320896895414303E-7</v>
      </c>
      <c r="G56">
        <v>5.9893389877359801E-2</v>
      </c>
      <c r="H56">
        <v>0.108182814206591</v>
      </c>
      <c r="I56">
        <v>0.13951245488164199</v>
      </c>
      <c r="J56">
        <v>0.156992146638577</v>
      </c>
      <c r="K56">
        <v>0.43568263216069197</v>
      </c>
      <c r="L56">
        <v>0.55835765839945295</v>
      </c>
      <c r="M56">
        <v>0.21672628247032999</v>
      </c>
    </row>
    <row r="57" spans="1:13" x14ac:dyDescent="0.25">
      <c r="A57" t="s">
        <v>28</v>
      </c>
      <c r="B57" s="8" t="s">
        <v>30</v>
      </c>
      <c r="C57" s="18" t="s">
        <v>26</v>
      </c>
      <c r="D57" s="8" t="s">
        <v>34</v>
      </c>
      <c r="E57" s="8" t="s">
        <v>27</v>
      </c>
      <c r="F57">
        <v>5.0743261220640302E-4</v>
      </c>
      <c r="G57">
        <v>3.44935300435018E-4</v>
      </c>
      <c r="H57">
        <v>3.3132594484220598E-4</v>
      </c>
      <c r="I57">
        <v>1.07155273273169E-2</v>
      </c>
      <c r="J57">
        <v>5.0809242683205399E-4</v>
      </c>
      <c r="K57">
        <v>5.0809242683205399E-4</v>
      </c>
      <c r="L57">
        <v>1.9788704491681498E-2</v>
      </c>
      <c r="M57">
        <v>0</v>
      </c>
    </row>
    <row r="58" spans="1:13" x14ac:dyDescent="0.25">
      <c r="A58" t="s">
        <v>28</v>
      </c>
      <c r="B58" s="8" t="s">
        <v>31</v>
      </c>
      <c r="C58" s="18" t="s">
        <v>26</v>
      </c>
      <c r="D58" s="8" t="s">
        <v>33</v>
      </c>
      <c r="E58" s="8" t="s">
        <v>27</v>
      </c>
      <c r="F58" s="12">
        <v>4.8324379807393903E-7</v>
      </c>
      <c r="G58">
        <v>5.98938883429425E-2</v>
      </c>
      <c r="H58">
        <v>0.118618783833672</v>
      </c>
      <c r="I58">
        <v>0.13587115323624399</v>
      </c>
      <c r="J58">
        <v>0.14715855851179999</v>
      </c>
      <c r="K58">
        <v>0.43310809843631498</v>
      </c>
      <c r="L58">
        <v>0.564156303466537</v>
      </c>
      <c r="M58">
        <v>0.21646443461182099</v>
      </c>
    </row>
    <row r="59" spans="1:13" x14ac:dyDescent="0.25">
      <c r="A59" t="s">
        <v>28</v>
      </c>
      <c r="B59" s="8" t="s">
        <v>31</v>
      </c>
      <c r="C59" s="18" t="s">
        <v>26</v>
      </c>
      <c r="D59" s="8" t="s">
        <v>34</v>
      </c>
      <c r="E59" s="8" t="s">
        <v>27</v>
      </c>
      <c r="F59">
        <v>5.0743261220640302E-4</v>
      </c>
      <c r="G59">
        <v>3.4491262692761898E-4</v>
      </c>
      <c r="H59">
        <v>3.3132593614549098E-4</v>
      </c>
      <c r="I59">
        <v>1.07155273273163E-2</v>
      </c>
      <c r="J59">
        <v>5.0809242683205399E-4</v>
      </c>
      <c r="K59">
        <v>5.0809242683205399E-4</v>
      </c>
      <c r="L59">
        <v>1.3384031295741099E-2</v>
      </c>
      <c r="M59">
        <v>0</v>
      </c>
    </row>
    <row r="60" spans="1:13" x14ac:dyDescent="0.25">
      <c r="A60" t="s">
        <v>28</v>
      </c>
      <c r="B60" s="8" t="s">
        <v>32</v>
      </c>
      <c r="C60" s="18" t="s">
        <v>26</v>
      </c>
      <c r="D60" s="8" t="s">
        <v>33</v>
      </c>
      <c r="E60" s="8" t="s">
        <v>27</v>
      </c>
      <c r="F60" s="12">
        <v>4.8329151738337E-7</v>
      </c>
      <c r="G60">
        <v>5.9328797282768103E-2</v>
      </c>
      <c r="H60">
        <v>0.11701602686441499</v>
      </c>
      <c r="I60">
        <v>0.20265665335594399</v>
      </c>
      <c r="J60">
        <v>0.22402186385717399</v>
      </c>
      <c r="K60">
        <v>0.208709645273184</v>
      </c>
      <c r="L60">
        <v>0.39616498172026299</v>
      </c>
      <c r="M60">
        <v>0.25336207265518002</v>
      </c>
    </row>
    <row r="61" spans="1:13" x14ac:dyDescent="0.25">
      <c r="A61" t="s">
        <v>28</v>
      </c>
      <c r="B61" s="8" t="s">
        <v>32</v>
      </c>
      <c r="C61" s="18" t="s">
        <v>26</v>
      </c>
      <c r="D61" s="8" t="s">
        <v>34</v>
      </c>
      <c r="E61" s="8" t="s">
        <v>27</v>
      </c>
      <c r="F61">
        <v>5.0743261220640302E-4</v>
      </c>
      <c r="G61">
        <v>3.4418369800795501E-4</v>
      </c>
      <c r="H61">
        <v>3.17903520145766E-4</v>
      </c>
      <c r="I61">
        <v>9.5945802082327992E-3</v>
      </c>
      <c r="J61">
        <v>5.0809242683205399E-4</v>
      </c>
      <c r="K61">
        <v>9.5945802082327992E-3</v>
      </c>
      <c r="L61">
        <v>2.4411902609964401E-2</v>
      </c>
      <c r="M61">
        <v>0</v>
      </c>
    </row>
    <row r="62" spans="1:13" x14ac:dyDescent="0.25">
      <c r="A62" t="s">
        <v>28</v>
      </c>
      <c r="B62" s="18" t="s">
        <v>25</v>
      </c>
      <c r="C62" s="18" t="s">
        <v>26</v>
      </c>
      <c r="D62" t="s">
        <v>41</v>
      </c>
      <c r="E62" s="18" t="s">
        <v>29</v>
      </c>
      <c r="F62" s="18">
        <v>3.9387716534275301E-5</v>
      </c>
      <c r="G62" s="18">
        <v>4.1922099214668016</v>
      </c>
      <c r="H62" s="18">
        <v>8.6616689607522765</v>
      </c>
      <c r="I62" s="18">
        <v>18.801396010660191</v>
      </c>
      <c r="J62" s="18">
        <v>24.875414200316083</v>
      </c>
      <c r="K62" s="18">
        <v>53.943629977495988</v>
      </c>
      <c r="L62" s="18">
        <v>72.902504108701379</v>
      </c>
      <c r="M62" s="18">
        <v>70.116502345229463</v>
      </c>
    </row>
    <row r="63" spans="1:13" x14ac:dyDescent="0.25">
      <c r="A63" t="s">
        <v>28</v>
      </c>
      <c r="B63" s="18" t="s">
        <v>30</v>
      </c>
      <c r="C63" s="18" t="s">
        <v>26</v>
      </c>
      <c r="D63" s="18" t="s">
        <v>41</v>
      </c>
      <c r="E63" s="18" t="s">
        <v>29</v>
      </c>
      <c r="F63" s="18">
        <v>3.9387716534275301E-5</v>
      </c>
      <c r="G63" s="18">
        <v>4.2149587120823986</v>
      </c>
      <c r="H63" s="18">
        <v>8.8130182227797338</v>
      </c>
      <c r="I63" s="18">
        <v>21.241223712573809</v>
      </c>
      <c r="J63" s="18">
        <v>25.418966322689634</v>
      </c>
      <c r="K63" s="18">
        <v>51.213591270425368</v>
      </c>
      <c r="L63" s="18">
        <v>64.453876673099387</v>
      </c>
      <c r="M63" s="18">
        <v>58.214060609176791</v>
      </c>
    </row>
    <row r="64" spans="1:13" x14ac:dyDescent="0.25">
      <c r="A64" t="s">
        <v>28</v>
      </c>
      <c r="B64" s="18" t="s">
        <v>31</v>
      </c>
      <c r="C64" s="18" t="s">
        <v>26</v>
      </c>
      <c r="D64" s="18" t="s">
        <v>41</v>
      </c>
      <c r="E64" s="18" t="s">
        <v>29</v>
      </c>
      <c r="F64" s="18">
        <v>3.9387716534275301E-5</v>
      </c>
      <c r="G64" s="18">
        <v>4.2149966870415678</v>
      </c>
      <c r="H64" s="18">
        <v>10.016598555487077</v>
      </c>
      <c r="I64" s="18">
        <v>20.734318296719664</v>
      </c>
      <c r="J64" s="18">
        <v>23.598214898381084</v>
      </c>
      <c r="K64" s="18">
        <v>52.999018481549243</v>
      </c>
      <c r="L64" s="18">
        <v>68.967849443742267</v>
      </c>
      <c r="M64" s="18">
        <v>64.304070527406608</v>
      </c>
    </row>
    <row r="65" spans="1:13" x14ac:dyDescent="0.25">
      <c r="A65" t="s">
        <v>28</v>
      </c>
      <c r="B65" s="18" t="s">
        <v>32</v>
      </c>
      <c r="C65" s="18" t="s">
        <v>26</v>
      </c>
      <c r="D65" s="18" t="s">
        <v>41</v>
      </c>
      <c r="E65" t="s">
        <v>29</v>
      </c>
      <c r="F65" s="18">
        <v>3.9387716534275301E-5</v>
      </c>
      <c r="G65" s="18">
        <v>4.2118767215881467</v>
      </c>
      <c r="H65" s="18">
        <v>9.412267414616684</v>
      </c>
      <c r="I65" s="18">
        <v>18.768669463765367</v>
      </c>
      <c r="J65" s="18">
        <v>22.698043769812934</v>
      </c>
      <c r="K65" s="18">
        <v>27.378803385125931</v>
      </c>
      <c r="L65" s="18">
        <v>43.838459928531528</v>
      </c>
      <c r="M65" s="18">
        <v>36.563528601587812</v>
      </c>
    </row>
    <row r="66" spans="1:13" x14ac:dyDescent="0.25">
      <c r="A66" t="s">
        <v>28</v>
      </c>
    </row>
    <row r="67" spans="1:13" x14ac:dyDescent="0.25">
      <c r="A67" t="s">
        <v>28</v>
      </c>
    </row>
    <row r="68" spans="1:13" x14ac:dyDescent="0.25">
      <c r="A68" t="s">
        <v>28</v>
      </c>
    </row>
    <row r="69" spans="1:13" x14ac:dyDescent="0.25">
      <c r="A69" t="s">
        <v>28</v>
      </c>
    </row>
    <row r="70" spans="1:13" x14ac:dyDescent="0.25">
      <c r="A70" t="s">
        <v>28</v>
      </c>
    </row>
    <row r="71" spans="1:13" x14ac:dyDescent="0.25">
      <c r="A71" t="s">
        <v>28</v>
      </c>
    </row>
    <row r="72" spans="1:13" x14ac:dyDescent="0.25">
      <c r="A72" t="s">
        <v>28</v>
      </c>
    </row>
    <row r="73" spans="1:13" x14ac:dyDescent="0.25">
      <c r="A73" t="s">
        <v>28</v>
      </c>
    </row>
    <row r="74" spans="1:13" x14ac:dyDescent="0.25">
      <c r="A74" t="s">
        <v>28</v>
      </c>
    </row>
    <row r="75" spans="1:13" x14ac:dyDescent="0.25">
      <c r="A75" t="s">
        <v>28</v>
      </c>
    </row>
    <row r="76" spans="1:13" x14ac:dyDescent="0.25">
      <c r="A76" t="s">
        <v>28</v>
      </c>
    </row>
    <row r="77" spans="1:13" x14ac:dyDescent="0.25">
      <c r="A77" t="s">
        <v>28</v>
      </c>
    </row>
    <row r="78" spans="1:13" x14ac:dyDescent="0.25">
      <c r="A7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GORES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2026-02-02T16:07:06Z</dcterms:created>
  <dcterms:modified xsi:type="dcterms:W3CDTF">2026-02-03T12:16:48Z</dcterms:modified>
</cp:coreProperties>
</file>